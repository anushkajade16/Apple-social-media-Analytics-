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hidePivotFieldList="1"/>
  <xr:revisionPtr revIDLastSave="0" documentId="8_{213819E3-F99B-48F1-810D-FA6E92700BD9}" xr6:coauthVersionLast="47" xr6:coauthVersionMax="47" xr10:uidLastSave="{00000000-0000-0000-0000-000000000000}"/>
  <bookViews>
    <workbookView xWindow="0" yWindow="0" windowWidth="0" windowHeight="0" xr2:uid="{00000000-000D-0000-FFFF-FFFF00000000}"/>
  </bookViews>
  <sheets>
    <sheet name="Campaign Metadata" sheetId="3" r:id="rId1"/>
    <sheet name="Campaign Performance Summary" sheetId="5" r:id="rId2"/>
    <sheet name="Campaign ROI Analysis" sheetId="4" r:id="rId3"/>
    <sheet name="Campaign Insights" sheetId="6" r:id="rId4"/>
  </sheets>
  <calcPr calcId="191028"/>
  <pivotCaches>
    <pivotCache cacheId="1268"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<sst xmlns="http://schemas.openxmlformats.org/spreadsheetml/2006/main" count="64" uniqueCount="51">
  <si>
    <t>Campaign_Name</t>
  </si>
  <si>
    <t>Start_Date</t>
  </si>
  <si>
    <t>End_Date</t>
  </si>
  <si>
    <t>Objective</t>
  </si>
  <si>
    <t>Ad_Spend</t>
  </si>
  <si>
    <t>Impressions</t>
  </si>
  <si>
    <t>Engagement_Uplift</t>
  </si>
  <si>
    <t>iPhone 16 Launch</t>
  </si>
  <si>
    <t>2024-06-15</t>
  </si>
  <si>
    <t>2024-07-15</t>
  </si>
  <si>
    <t>Product Launch</t>
  </si>
  <si>
    <t>MacBook Air M3 Campaign</t>
  </si>
  <si>
    <t>2024-10-01</t>
  </si>
  <si>
    <t>2024-10-31</t>
  </si>
  <si>
    <t>Product Promotion</t>
  </si>
  <si>
    <t>Apple Watch Ultra 2 Launch</t>
  </si>
  <si>
    <t>2024-12-25</t>
  </si>
  <si>
    <t>2025-01-10</t>
  </si>
  <si>
    <t>Health &amp; Fitness Awareness</t>
  </si>
  <si>
    <t>Sustainability Awareness Drive</t>
  </si>
  <si>
    <t>2025-03-01</t>
  </si>
  <si>
    <t>2025-03-31</t>
  </si>
  <si>
    <t>Sustainability Branding</t>
  </si>
  <si>
    <t>Apple Event September 2025</t>
  </si>
  <si>
    <t>Brand Engagement</t>
  </si>
  <si>
    <t>Campaign Performance Table</t>
  </si>
  <si>
    <t>Sum of Impressions2</t>
  </si>
  <si>
    <t>Average of Impressions</t>
  </si>
  <si>
    <t>Sum of Engagement_Uplift</t>
  </si>
  <si>
    <t>Average of Engagement_Uplift2</t>
  </si>
  <si>
    <t>Grand Total</t>
  </si>
  <si>
    <t>Campaign Performance Chart</t>
  </si>
  <si>
    <t>1.This table shows total and average impressions, engagement lift, and spend for each campaign.</t>
  </si>
  <si>
    <t>2.In iphone 16 launch campaign we can see the more impression as compare to other compaign.</t>
  </si>
  <si>
    <t>3.It helps compare overall campaign effectiveness in terms of reach and engagement</t>
  </si>
  <si>
    <t>Campaign ROI Analysis Table</t>
  </si>
  <si>
    <t>Sum of Ad_Spend</t>
  </si>
  <si>
    <t>Sum of Impressions</t>
  </si>
  <si>
    <t>Average of Engagement_Uplift</t>
  </si>
  <si>
    <t>ROI Comparison Chart</t>
  </si>
  <si>
    <t>1.Campaign ROI is analyzed using engagement lift and spend.</t>
  </si>
  <si>
    <t>2.Iphone 16 Launch have highest impression more than its Ad spends.</t>
  </si>
  <si>
    <t>3.Campaigns with higher engagement lift and lower spend are considered more efficient and effective.</t>
  </si>
  <si>
    <t>Highest ROI Campaign:</t>
  </si>
  <si>
    <t>From the analysis, I can see that the campaign with the highest ROI is the one where engagement lift is high compared to the spend. This means the campaign gave better results with less cost, so it was the most efficient one.</t>
  </si>
  <si>
    <t>Best Performing Campaign (Engagement):</t>
  </si>
  <si>
    <t>The campaign with the highest engagement lift performed the best overall. It shows that more people interacted with the content during that campaign, so it was more successful in grabbing audience attention.</t>
  </si>
  <si>
    <t>Overall Insight:</t>
  </si>
  <si>
    <t>Overall, I noticed that campaigns with higher engagement lift and impressions performed better than campaigns with only high spend. This shows that engagement is more important than spending more money for campaign success.</t>
  </si>
  <si>
    <t>Recommendation:</t>
  </si>
  <si>
    <t>So, it is better to focus on improving engagement rather than just increasing the budget for future campaigns.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</si>
</sst>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font>
      <sz val="11"/>
      <color theme="1"/>
      <name val="Calibri"/>
      <scheme val="minor"/>
    </font>
    <font>
      <b/>
      <sz val="11"/>
      <color theme="1"/>
      <name val="Calibri"/>
    </font>
    <font>
      <sz val="11"/>
      <color theme="1"/>
      <name val="Calibri"/>
      <scheme val="minor"/>
    </font>
    <font>
      <sz val="11"/>
      <color theme="1"/>
      <name val="Calibri"/>
    </font>
    <font>
      <b/>
      <sz val="12"/>
      <color theme="1"/>
      <name val="Calibri"/>
      <scheme val="minor"/>
    </font>
    <font>
      <sz val="8"/>
      <color theme="1"/>
      <name val="Calibri"/>
      <scheme val="minor"/>
    </font>
    <font>
      <u/>
      <sz val="14"/>
      <color theme="1"/>
      <name val="Calibri"/>
      <scheme val="minor"/>
    </font>
    <font>
      <b/>
      <sz val="14"/>
      <color theme="1"/>
      <name val="Calibri"/>
      <scheme val="minor"/>
    </font>
    <font>
      <b/>
      <sz val="16"/>
      <color theme="1"/>
      <name val="Calibri"/>
      <scheme val="minor"/>
    </font>
    <font>
      <b/>
      <sz val="13.5"/>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applyFont="1" applyAlignment="1"/>
    <xf numFmtId="0" fontId="1" fillId="0" borderId="1" xfId="0" applyFont="1" applyBorder="1" applyAlignment="1">
      <alignment horizontal="center" vertical="top"/>
    </xf>
    <xf numFmtId="0" fontId="2" fillId="0" borderId="0" xfId="0" applyFont="1"/>
    <xf numFmtId="0" fontId="3" fillId="0" borderId="0" xfId="0" applyFont="1" applyAlignment="1">
      <alignment horizontal="left"/>
    </xf>
    <xf numFmtId="164" fontId="3" fillId="0" borderId="0" xfId="0" applyNumberFormat="1" applyFont="1" applyAlignment="1">
      <alignment horizontal="left"/>
    </xf>
    <xf numFmtId="0" fontId="0" fillId="0" borderId="0" xfId="0" applyNumberFormat="1" applyFont="1" applyAlignment="1"/>
    <xf numFmtId="0" fontId="0" fillId="0" borderId="0" xfId="0" pivotButton="1" applyFont="1" applyAlignment="1"/>
    <xf numFmtId="0" fontId="5" fillId="0" borderId="0" xfId="0" applyFont="1" applyAlignment="1"/>
    <xf numFmtId="0" fontId="4" fillId="0" borderId="0" xfId="0" applyFont="1" applyAlignment="1"/>
    <xf numFmtId="0" fontId="0" fillId="0" borderId="0" xfId="0" applyFont="1" applyAlignment="1">
      <alignment wrapText="1"/>
    </xf>
    <xf numFmtId="0" fontId="6" fillId="0" borderId="0" xfId="0" applyFont="1" applyAlignment="1"/>
    <xf numFmtId="0" fontId="7" fillId="0" borderId="0" xfId="0" applyFont="1" applyAlignment="1"/>
    <xf numFmtId="0" fontId="8" fillId="0" borderId="0" xfId="0" applyFont="1" applyAlignment="1"/>
    <xf numFmtId="0" fontId="9" fillId="0" borderId="0" xfId="0" applyFont="1" applyAlignment="1"/>
    <xf numFmtId="0" fontId="9" fillId="0" borderId="0" xfId="0" applyFont="1" applyAlignment="1">
      <alignment wrapText="1"/>
    </xf>
    <xf numFmtId="0" fontId="0"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 Metadata'!$B$9</c:f>
              <c:strCache>
                <c:ptCount val="1"/>
              </c:strCache>
            </c:strRef>
          </c:tx>
          <c:spPr>
            <a:solidFill>
              <a:schemeClr val="accent1"/>
            </a:solidFill>
            <a:ln>
              <a:noFill/>
            </a:ln>
            <a:effectLst/>
          </c:spPr>
          <c:invertIfNegative val="0"/>
          <c:cat>
            <c:strLit>
              <c:ptCount val="5"/>
              <c:pt idx="0">
                <c:v>Apple Event September 2025</c:v>
              </c:pt>
              <c:pt idx="1">
                <c:v>Apple Watch Ultra 2 Launch</c:v>
              </c:pt>
              <c:pt idx="2">
                <c:v>iPhone 16 Launch</c:v>
              </c:pt>
              <c:pt idx="3">
                <c:v>MacBook Air M3 Campaign</c:v>
              </c:pt>
              <c:pt idx="4">
                <c:v>Sustainability Awareness Drive</c:v>
              </c:pt>
            </c:strLit>
          </c:cat>
          <c:val>
            <c:numLit>
              <c:formatCode>General</c:formatCode>
              <c:ptCount val="5"/>
              <c:pt idx="0">
                <c:v>880000</c:v>
              </c:pt>
              <c:pt idx="1">
                <c:v>700000</c:v>
              </c:pt>
              <c:pt idx="2">
                <c:v>950000</c:v>
              </c:pt>
              <c:pt idx="3">
                <c:v>780000</c:v>
              </c:pt>
              <c:pt idx="4">
                <c:v>550000</c:v>
              </c:pt>
            </c:numLit>
          </c:val>
          <c:extLst>
            <c:ext xmlns:c16="http://schemas.microsoft.com/office/drawing/2014/chart" uri="{C3380CC4-5D6E-409C-BE32-E72D297353CC}">
              <c16:uniqueId val="{00000000-CBC5-4C43-A91E-998C912495D4}"/>
            </c:ext>
          </c:extLst>
        </c:ser>
        <c:ser>
          <c:idx val="1"/>
          <c:order val="1"/>
          <c:tx>
            <c:strRef>
              <c:f>'Campaign Metadata'!$C$9</c:f>
              <c:strCache>
                <c:ptCount val="1"/>
              </c:strCache>
            </c:strRef>
          </c:tx>
          <c:spPr>
            <a:solidFill>
              <a:schemeClr val="accent2"/>
            </a:solidFill>
            <a:ln>
              <a:noFill/>
            </a:ln>
            <a:effectLst/>
          </c:spPr>
          <c:invertIfNegative val="0"/>
          <c:cat>
            <c:strLit>
              <c:ptCount val="5"/>
              <c:pt idx="0">
                <c:v>Apple Event September 2025</c:v>
              </c:pt>
              <c:pt idx="1">
                <c:v>Apple Watch Ultra 2 Launch</c:v>
              </c:pt>
              <c:pt idx="2">
                <c:v>iPhone 16 Launch</c:v>
              </c:pt>
              <c:pt idx="3">
                <c:v>MacBook Air M3 Campaign</c:v>
              </c:pt>
              <c:pt idx="4">
                <c:v>Sustainability Awareness Drive</c:v>
              </c:pt>
            </c:strLit>
          </c:cat>
          <c:val>
            <c:numLit>
              <c:formatCode>General</c:formatCode>
              <c:ptCount val="5"/>
              <c:pt idx="0">
                <c:v>880000</c:v>
              </c:pt>
              <c:pt idx="1">
                <c:v>700000</c:v>
              </c:pt>
              <c:pt idx="2">
                <c:v>950000</c:v>
              </c:pt>
              <c:pt idx="3">
                <c:v>780000</c:v>
              </c:pt>
              <c:pt idx="4">
                <c:v>550000</c:v>
              </c:pt>
            </c:numLit>
          </c:val>
          <c:extLst>
            <c:ext xmlns:c16="http://schemas.microsoft.com/office/drawing/2014/chart" uri="{C3380CC4-5D6E-409C-BE32-E72D297353CC}">
              <c16:uniqueId val="{00000001-CBC5-4C43-A91E-998C912495D4}"/>
            </c:ext>
          </c:extLst>
        </c:ser>
        <c:ser>
          <c:idx val="2"/>
          <c:order val="2"/>
          <c:tx>
            <c:strRef>
              <c:f>'Campaign Metadata'!$D$9</c:f>
              <c:strCache>
                <c:ptCount val="1"/>
              </c:strCache>
            </c:strRef>
          </c:tx>
          <c:spPr>
            <a:solidFill>
              <a:schemeClr val="accent3"/>
            </a:solidFill>
            <a:ln>
              <a:noFill/>
            </a:ln>
            <a:effectLst/>
          </c:spPr>
          <c:invertIfNegative val="0"/>
          <c:cat>
            <c:strLit>
              <c:ptCount val="5"/>
              <c:pt idx="0">
                <c:v>Apple Event September 2025</c:v>
              </c:pt>
              <c:pt idx="1">
                <c:v>Apple Watch Ultra 2 Launch</c:v>
              </c:pt>
              <c:pt idx="2">
                <c:v>iPhone 16 Launch</c:v>
              </c:pt>
              <c:pt idx="3">
                <c:v>MacBook Air M3 Campaign</c:v>
              </c:pt>
              <c:pt idx="4">
                <c:v>Sustainability Awareness Drive</c:v>
              </c:pt>
            </c:strLit>
          </c:cat>
          <c:val>
            <c:numLit>
              <c:formatCode>General</c:formatCode>
              <c:ptCount val="5"/>
              <c:pt idx="0">
                <c:v>0.47</c:v>
              </c:pt>
              <c:pt idx="1">
                <c:v>0.41</c:v>
              </c:pt>
              <c:pt idx="2">
                <c:v>0.45</c:v>
              </c:pt>
              <c:pt idx="3">
                <c:v>0.38</c:v>
              </c:pt>
              <c:pt idx="4">
                <c:v>0.32</c:v>
              </c:pt>
            </c:numLit>
          </c:val>
          <c:extLst>
            <c:ext xmlns:c16="http://schemas.microsoft.com/office/drawing/2014/chart" uri="{C3380CC4-5D6E-409C-BE32-E72D297353CC}">
              <c16:uniqueId val="{00000002-CBC5-4C43-A91E-998C912495D4}"/>
            </c:ext>
          </c:extLst>
        </c:ser>
        <c:ser>
          <c:idx val="3"/>
          <c:order val="3"/>
          <c:tx>
            <c:strRef>
              <c:f>'Campaign Metadata'!$E$9</c:f>
              <c:strCache>
                <c:ptCount val="1"/>
              </c:strCache>
            </c:strRef>
          </c:tx>
          <c:spPr>
            <a:solidFill>
              <a:schemeClr val="accent4"/>
            </a:solidFill>
            <a:ln>
              <a:noFill/>
            </a:ln>
            <a:effectLst/>
          </c:spPr>
          <c:invertIfNegative val="0"/>
          <c:cat>
            <c:strLit>
              <c:ptCount val="5"/>
              <c:pt idx="0">
                <c:v>Apple Event September 2025</c:v>
              </c:pt>
              <c:pt idx="1">
                <c:v>Apple Watch Ultra 2 Launch</c:v>
              </c:pt>
              <c:pt idx="2">
                <c:v>iPhone 16 Launch</c:v>
              </c:pt>
              <c:pt idx="3">
                <c:v>MacBook Air M3 Campaign</c:v>
              </c:pt>
              <c:pt idx="4">
                <c:v>Sustainability Awareness Drive</c:v>
              </c:pt>
            </c:strLit>
          </c:cat>
          <c:val>
            <c:numLit>
              <c:formatCode>General</c:formatCode>
              <c:ptCount val="5"/>
              <c:pt idx="0">
                <c:v>0.47</c:v>
              </c:pt>
              <c:pt idx="1">
                <c:v>0.41</c:v>
              </c:pt>
              <c:pt idx="2">
                <c:v>0.45</c:v>
              </c:pt>
              <c:pt idx="3">
                <c:v>0.38</c:v>
              </c:pt>
              <c:pt idx="4">
                <c:v>0.32</c:v>
              </c:pt>
            </c:numLit>
          </c:val>
          <c:extLst>
            <c:ext xmlns:c16="http://schemas.microsoft.com/office/drawing/2014/chart" uri="{C3380CC4-5D6E-409C-BE32-E72D297353CC}">
              <c16:uniqueId val="{00000003-CBC5-4C43-A91E-998C912495D4}"/>
            </c:ext>
          </c:extLst>
        </c:ser>
        <c:dLbls>
          <c:showLegendKey val="0"/>
          <c:showVal val="0"/>
          <c:showCatName val="0"/>
          <c:showSerName val="0"/>
          <c:showPercent val="0"/>
          <c:showBubbleSize val="0"/>
        </c:dLbls>
        <c:gapWidth val="219"/>
        <c:overlap val="-27"/>
        <c:axId val="400199687"/>
        <c:axId val="400201735"/>
      </c:barChart>
      <c:catAx>
        <c:axId val="400199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201735"/>
        <c:crosses val="autoZero"/>
        <c:auto val="1"/>
        <c:lblAlgn val="ctr"/>
        <c:lblOffset val="100"/>
        <c:noMultiLvlLbl val="0"/>
      </c:catAx>
      <c:valAx>
        <c:axId val="400201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1996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[task_5 Campaign Effectiveness.xlsx]Campaign ROI 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'Campaign ROI Analysis'!$B$3</c:f>
              <c:strCache>
                <c:ptCount val="1"/>
                <c:pt idx="0">
                  <c:v>Sum of Ad_Spend</c:v>
                </c:pt>
              </c:strCache>
            </c:strRef>
          </c:tx>
          <c:spPr>
            <a:solidFill>
              <a:schemeClr val="accent1"/>
            </a:solidFill>
            <a:ln>
              <a:noFill/>
            </a:ln>
            <a:effectLst/>
          </c:spPr>
          <c:invertIfNegative val="0"/>
          <c:cat>
            <c:strRef>
              <c:f>'Campaign ROI Analysis'!$A$4:$A$9</c:f>
              <c:strCache>
                <c:ptCount val="5"/>
                <c:pt idx="0">
                  <c:v>Apple Event September 2025</c:v>
                </c:pt>
                <c:pt idx="1">
                  <c:v>Apple Watch Ultra 2 Launch</c:v>
                </c:pt>
                <c:pt idx="2">
                  <c:v>iPhone 16 Launch</c:v>
                </c:pt>
                <c:pt idx="3">
                  <c:v>MacBook Air M3 Campaign</c:v>
                </c:pt>
                <c:pt idx="4">
                  <c:v>Sustainability Awareness Drive</c:v>
                </c:pt>
              </c:strCache>
            </c:strRef>
          </c:cat>
          <c:val>
            <c:numRef>
              <c:f>'Campaign ROI Analysis'!$B$4:$B$9</c:f>
              <c:numCache>
                <c:formatCode>General</c:formatCode>
                <c:ptCount val="5"/>
                <c:pt idx="0">
                  <c:v>75000</c:v>
                </c:pt>
                <c:pt idx="1">
                  <c:v>55000</c:v>
                </c:pt>
                <c:pt idx="2">
                  <c:v>85000</c:v>
                </c:pt>
                <c:pt idx="3">
                  <c:v>60000</c:v>
                </c:pt>
                <c:pt idx="4">
                  <c:v>40000</c:v>
                </c:pt>
              </c:numCache>
            </c:numRef>
          </c:val>
          <c:extLst>
            <c:ext xmlns:c16="http://schemas.microsoft.com/office/drawing/2014/chart" uri="{C3380CC4-5D6E-409C-BE32-E72D297353CC}">
              <c16:uniqueId val="{00000003-7A80-4AC7-8C40-59B5DAA76788}"/>
            </c:ext>
          </c:extLst>
        </c:ser>
        <c:ser>
          <c:idx val="1"/>
          <c:order val="1"/>
          <c:tx>
            <c:strRef>
              <c:f>'Campaign ROI Analysis'!$C$3</c:f>
              <c:strCache>
                <c:ptCount val="1"/>
                <c:pt idx="0">
                  <c:v>Sum of Impressions</c:v>
                </c:pt>
              </c:strCache>
            </c:strRef>
          </c:tx>
          <c:spPr>
            <a:solidFill>
              <a:schemeClr val="accent2"/>
            </a:solidFill>
            <a:ln>
              <a:noFill/>
            </a:ln>
            <a:effectLst/>
          </c:spPr>
          <c:invertIfNegative val="0"/>
          <c:cat>
            <c:strRef>
              <c:f>'Campaign ROI Analysis'!$A$4:$A$9</c:f>
              <c:strCache>
                <c:ptCount val="5"/>
                <c:pt idx="0">
                  <c:v>Apple Event September 2025</c:v>
                </c:pt>
                <c:pt idx="1">
                  <c:v>Apple Watch Ultra 2 Launch</c:v>
                </c:pt>
                <c:pt idx="2">
                  <c:v>iPhone 16 Launch</c:v>
                </c:pt>
                <c:pt idx="3">
                  <c:v>MacBook Air M3 Campaign</c:v>
                </c:pt>
                <c:pt idx="4">
                  <c:v>Sustainability Awareness Drive</c:v>
                </c:pt>
              </c:strCache>
            </c:strRef>
          </c:cat>
          <c:val>
            <c:numRef>
              <c:f>'Campaign ROI Analysis'!$C$4:$C$9</c:f>
              <c:numCache>
                <c:formatCode>General</c:formatCode>
                <c:ptCount val="5"/>
                <c:pt idx="0">
                  <c:v>880000</c:v>
                </c:pt>
                <c:pt idx="1">
                  <c:v>700000</c:v>
                </c:pt>
                <c:pt idx="2">
                  <c:v>950000</c:v>
                </c:pt>
                <c:pt idx="3">
                  <c:v>780000</c:v>
                </c:pt>
                <c:pt idx="4">
                  <c:v>550000</c:v>
                </c:pt>
              </c:numCache>
            </c:numRef>
          </c:val>
          <c:extLst>
            <c:ext xmlns:c16="http://schemas.microsoft.com/office/drawing/2014/chart" uri="{C3380CC4-5D6E-409C-BE32-E72D297353CC}">
              <c16:uniqueId val="{00000005-7A80-4AC7-8C40-59B5DAA76788}"/>
            </c:ext>
          </c:extLst>
        </c:ser>
        <c:ser>
          <c:idx val="2"/>
          <c:order val="2"/>
          <c:tx>
            <c:strRef>
              <c:f>'Campaign ROI Analysis'!$D$3</c:f>
              <c:strCache>
                <c:ptCount val="1"/>
                <c:pt idx="0">
                  <c:v>Average of Engagement_Uplift</c:v>
                </c:pt>
              </c:strCache>
            </c:strRef>
          </c:tx>
          <c:spPr>
            <a:solidFill>
              <a:schemeClr val="accent3"/>
            </a:solidFill>
            <a:ln>
              <a:noFill/>
            </a:ln>
            <a:effectLst/>
          </c:spPr>
          <c:invertIfNegative val="0"/>
          <c:cat>
            <c:strRef>
              <c:f>'Campaign ROI Analysis'!$A$4:$A$9</c:f>
              <c:strCache>
                <c:ptCount val="5"/>
                <c:pt idx="0">
                  <c:v>Apple Event September 2025</c:v>
                </c:pt>
                <c:pt idx="1">
                  <c:v>Apple Watch Ultra 2 Launch</c:v>
                </c:pt>
                <c:pt idx="2">
                  <c:v>iPhone 16 Launch</c:v>
                </c:pt>
                <c:pt idx="3">
                  <c:v>MacBook Air M3 Campaign</c:v>
                </c:pt>
                <c:pt idx="4">
                  <c:v>Sustainability Awareness Drive</c:v>
                </c:pt>
              </c:strCache>
            </c:strRef>
          </c:cat>
          <c:val>
            <c:numRef>
              <c:f>'Campaign ROI Analysis'!$D$4:$D$9</c:f>
              <c:numCache>
                <c:formatCode>General</c:formatCode>
                <c:ptCount val="5"/>
                <c:pt idx="0">
                  <c:v>0.47</c:v>
                </c:pt>
                <c:pt idx="1">
                  <c:v>0.41</c:v>
                </c:pt>
                <c:pt idx="2">
                  <c:v>0.45</c:v>
                </c:pt>
                <c:pt idx="3">
                  <c:v>0.38</c:v>
                </c:pt>
                <c:pt idx="4">
                  <c:v>0.32</c:v>
                </c:pt>
              </c:numCache>
            </c:numRef>
          </c:val>
          <c:extLst>
            <c:ext xmlns:c16="http://schemas.microsoft.com/office/drawing/2014/chart" uri="{C3380CC4-5D6E-409C-BE32-E72D297353CC}">
              <c16:uniqueId val="{00000007-7A80-4AC7-8C40-59B5DAA76788}"/>
            </c:ext>
          </c:extLst>
        </c:ser>
        <c:dLbls>
          <c:showLegendKey val="0"/>
          <c:showVal val="0"/>
          <c:showCatName val="0"/>
          <c:showSerName val="0"/>
          <c:showPercent val="0"/>
          <c:showBubbleSize val="0"/>
        </c:dLbls>
        <c:gapWidth val="219"/>
        <c:overlap val="-27"/>
        <c:axId val="400863751"/>
        <c:axId val="78623239"/>
      </c:barChart>
      <c:catAx>
        <c:axId val="400863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23239"/>
        <c:crosses val="autoZero"/>
        <c:auto val="1"/>
        <c:lblAlgn val="ctr"/>
        <c:lblOffset val="100"/>
        <c:noMultiLvlLbl val="0"/>
      </c:catAx>
      <c:valAx>
        <c:axId val="78623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63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552450</xdr:colOff>
      <xdr:row>13</xdr:row>
      <xdr:rowOff>57150</xdr:rowOff>
    </xdr:from>
    <xdr:to>
      <xdr:col>5</xdr:col>
      <xdr:colOff>857250</xdr:colOff>
      <xdr:row>34</xdr:row>
      <xdr:rowOff>142875</xdr:rowOff>
    </xdr:to>
    <xdr:graphicFrame macro="">
      <xdr:nvGraphicFramePr>
        <xdr:cNvPr id="2" name="Chart 2">
          <a:extLst>
            <a:ext uri="{FF2B5EF4-FFF2-40B4-BE49-F238E27FC236}">
              <a16:creationId xmlns:a16="http://schemas.microsoft.com/office/drawing/2014/main" id="{9E868F5B-E4DE-434F-845D-EC5EAE5D4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12</xdr:row>
      <xdr:rowOff>47625</xdr:rowOff>
    </xdr:from>
    <xdr:to>
      <xdr:col>3</xdr:col>
      <xdr:colOff>1676400</xdr:colOff>
      <xdr:row>30</xdr:row>
      <xdr:rowOff>76200</xdr:rowOff>
    </xdr:to>
    <xdr:graphicFrame macro="">
      <xdr:nvGraphicFramePr>
        <xdr:cNvPr id="2" name="Chart 1">
          <a:extLst>
            <a:ext uri="{FF2B5EF4-FFF2-40B4-BE49-F238E27FC236}">
              <a16:creationId xmlns:a16="http://schemas.microsoft.com/office/drawing/2014/main" id="{1A287680-60F2-7EC2-CF72-1460FAC68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42.935672222222" createdVersion="8" refreshedVersion="8" minRefreshableVersion="3" recordCount="5" xr:uid="{C8905805-AAAE-49FC-85BB-96656BB9C32C}">
  <cacheSource type="worksheet">
    <worksheetSource ref="A1:G6" sheet="Campaign Metadata"/>
  </cacheSource>
  <cacheFields count="7">
    <cacheField name="Campaign_Name" numFmtId="0">
      <sharedItems count="5">
        <s v="iPhone 16 Launch"/>
        <s v="MacBook Air M3 Campaign"/>
        <s v="Apple Watch Ultra 2 Launch"/>
        <s v="Sustainability Awareness Drive"/>
        <s v="Apple Event September 2025"/>
      </sharedItems>
    </cacheField>
    <cacheField name="Start_Date" numFmtId="0">
      <sharedItems containsDate="1" containsMixedTypes="1" minDate="2025-09-01T00:00:00" maxDate="2025-09-02T00:00:00"/>
    </cacheField>
    <cacheField name="End_Date" numFmtId="0">
      <sharedItems containsDate="1" containsMixedTypes="1" minDate="2025-09-30T00:00:00" maxDate="2025-10-01T00:00:00"/>
    </cacheField>
    <cacheField name="Objective" numFmtId="0">
      <sharedItems/>
    </cacheField>
    <cacheField name="Ad_Spend" numFmtId="0">
      <sharedItems containsSemiMixedTypes="0" containsString="0" containsNumber="1" containsInteger="1" minValue="40000" maxValue="85000"/>
    </cacheField>
    <cacheField name="Impressions" numFmtId="0">
      <sharedItems containsSemiMixedTypes="0" containsString="0" containsNumber="1" containsInteger="1" minValue="550000" maxValue="950000"/>
    </cacheField>
    <cacheField name="Engagement_Uplift" numFmtId="0">
      <sharedItems containsSemiMixedTypes="0" containsString="0" containsNumber="1" minValue="0.32" maxValue="0.4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s v="2024-06-15"/>
    <s v="2024-07-15"/>
    <s v="Product Launch"/>
    <n v="85000"/>
    <n v="950000"/>
    <n v="0.45"/>
  </r>
  <r>
    <x v="1"/>
    <s v="2024-10-01"/>
    <s v="2024-10-31"/>
    <s v="Product Promotion"/>
    <n v="60000"/>
    <n v="780000"/>
    <n v="0.38"/>
  </r>
  <r>
    <x v="2"/>
    <s v="2024-12-25"/>
    <s v="2025-01-10"/>
    <s v="Health &amp; Fitness Awareness"/>
    <n v="55000"/>
    <n v="700000"/>
    <n v="0.41"/>
  </r>
  <r>
    <x v="3"/>
    <s v="2025-03-01"/>
    <s v="2025-03-31"/>
    <s v="Sustainability Branding"/>
    <n v="40000"/>
    <n v="550000"/>
    <n v="0.32"/>
  </r>
  <r>
    <x v="4"/>
    <d v="2025-09-01T00:00:00"/>
    <d v="2025-09-30T00:00:00"/>
    <s v="Brand Engagement"/>
    <n v="75000"/>
    <n v="880000"/>
    <n v="0.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F635D6-7E33-42E4-90C4-63E1D0026785}" name="PivotTable3" cacheId="12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B4:F10" firstHeaderRow="0" firstDataRow="1" firstDataCol="1"/>
  <pivotFields count="7">
    <pivotField axis="axisRow" compact="0" outline="0" showAll="0">
      <items count="6">
        <item x="4"/>
        <item x="2"/>
        <item x="0"/>
        <item x="1"/>
        <item x="3"/>
        <item t="default"/>
      </items>
    </pivotField>
    <pivotField compact="0" outline="0" showAll="0"/>
    <pivotField compact="0" outline="0" showAll="0"/>
    <pivotField compact="0" outline="0" showAll="0"/>
    <pivotField compact="0" outline="0" showAll="0"/>
    <pivotField dataField="1" compact="0" outline="0" showAll="0"/>
    <pivotField dataField="1" compact="0" outline="0" showAll="0"/>
  </pivotFields>
  <rowFields count="1">
    <field x="0"/>
  </rowFields>
  <rowItems count="6">
    <i>
      <x/>
    </i>
    <i>
      <x v="1"/>
    </i>
    <i>
      <x v="2"/>
    </i>
    <i>
      <x v="3"/>
    </i>
    <i>
      <x v="4"/>
    </i>
    <i t="grand">
      <x/>
    </i>
  </rowItems>
  <colFields count="1">
    <field x="-2"/>
  </colFields>
  <colItems count="4">
    <i>
      <x/>
    </i>
    <i i="1">
      <x v="1"/>
    </i>
    <i i="2">
      <x v="2"/>
    </i>
    <i i="3">
      <x v="3"/>
    </i>
  </colItems>
  <dataFields count="4">
    <dataField name="Sum of Impressions2" fld="5" baseField="0" baseItem="0"/>
    <dataField name="Average of Impressions" fld="5" subtotal="average" baseField="0" baseItem="0"/>
    <dataField name="Sum of Engagement_Uplift" fld="6" baseField="0" baseItem="0"/>
    <dataField name="Average of Engagement_Uplift2" fld="6"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B7E61F-3246-4384-B20D-47CADA6FBC53}" name="PivotTable2" cacheId="126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D9" firstHeaderRow="0" firstDataRow="1" firstDataCol="1"/>
  <pivotFields count="7">
    <pivotField axis="axisRow" compact="0" outline="0" showAll="0">
      <items count="6">
        <item x="4"/>
        <item x="2"/>
        <item x="0"/>
        <item x="1"/>
        <item x="3"/>
        <item t="default"/>
      </items>
    </pivotField>
    <pivotField compact="0" outline="0" showAll="0"/>
    <pivotField compact="0" outline="0" showAll="0"/>
    <pivotField compact="0" outline="0" showAll="0"/>
    <pivotField dataField="1" compact="0" outline="0" showAll="0"/>
    <pivotField dataField="1" compact="0" outline="0" showAll="0"/>
    <pivotField dataField="1" compact="0" outline="0" showAll="0"/>
  </pivotFields>
  <rowFields count="1">
    <field x="0"/>
  </rowFields>
  <rowItems count="6">
    <i>
      <x/>
    </i>
    <i>
      <x v="1"/>
    </i>
    <i>
      <x v="2"/>
    </i>
    <i>
      <x v="3"/>
    </i>
    <i>
      <x v="4"/>
    </i>
    <i t="grand">
      <x/>
    </i>
  </rowItems>
  <colFields count="1">
    <field x="-2"/>
  </colFields>
  <colItems count="3">
    <i>
      <x/>
    </i>
    <i i="1">
      <x v="1"/>
    </i>
    <i i="2">
      <x v="2"/>
    </i>
  </colItems>
  <dataFields count="3">
    <dataField name="Sum of Ad_Spend" fld="4" baseField="0" baseItem="0"/>
    <dataField name="Sum of Impressions" fld="5" baseField="0" baseItem="0"/>
    <dataField name="Average of Engagement_Uplift" fld="6" subtotal="average"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0"/>
  <sheetViews>
    <sheetView tabSelected="1" topLeftCell="I21" workbookViewId="0">
      <selection activeCell="G34" sqref="G34:Q44"/>
    </sheetView>
  </sheetViews>
  <sheetFormatPr defaultColWidth="14.42578125" defaultRowHeight="15" customHeight="1"/>
  <cols>
    <col min="1" max="1" width="27.5703125" customWidth="1"/>
    <col min="2" max="2" width="19.28515625" customWidth="1"/>
    <col min="3" max="3" width="21.7109375" customWidth="1"/>
    <col min="4" max="4" width="24.7109375" customWidth="1"/>
    <col min="5" max="5" width="29.28515625" customWidth="1"/>
    <col min="6" max="6" width="12.28515625" customWidth="1"/>
    <col min="7" max="7" width="17.85546875" customWidth="1"/>
    <col min="8" max="28" width="8.7109375" customWidth="1"/>
  </cols>
  <sheetData>
    <row r="1" spans="1:9" ht="14.25" customHeight="1">
      <c r="A1" s="1" t="s">
        <v>0</v>
      </c>
      <c r="B1" s="1" t="s">
        <v>1</v>
      </c>
      <c r="C1" s="1" t="s">
        <v>2</v>
      </c>
      <c r="D1" s="1" t="s">
        <v>3</v>
      </c>
      <c r="E1" s="1" t="s">
        <v>4</v>
      </c>
      <c r="F1" s="1" t="s">
        <v>5</v>
      </c>
      <c r="G1" s="1" t="s">
        <v>6</v>
      </c>
    </row>
    <row r="2" spans="1:9" ht="14.25" customHeight="1">
      <c r="A2" s="2" t="s">
        <v>7</v>
      </c>
      <c r="B2" s="3" t="s">
        <v>8</v>
      </c>
      <c r="C2" s="3" t="s">
        <v>9</v>
      </c>
      <c r="D2" s="2" t="s">
        <v>10</v>
      </c>
      <c r="E2" s="2">
        <v>85000</v>
      </c>
      <c r="F2" s="2">
        <v>950000</v>
      </c>
      <c r="G2" s="2">
        <v>0.45</v>
      </c>
    </row>
    <row r="3" spans="1:9" ht="14.25" customHeight="1">
      <c r="A3" s="2" t="s">
        <v>11</v>
      </c>
      <c r="B3" s="3" t="s">
        <v>12</v>
      </c>
      <c r="C3" s="3" t="s">
        <v>13</v>
      </c>
      <c r="D3" s="2" t="s">
        <v>14</v>
      </c>
      <c r="E3" s="2">
        <v>60000</v>
      </c>
      <c r="F3" s="2">
        <v>780000</v>
      </c>
      <c r="G3" s="2">
        <v>0.38</v>
      </c>
    </row>
    <row r="4" spans="1:9" ht="14.25" customHeight="1">
      <c r="A4" s="2" t="s">
        <v>15</v>
      </c>
      <c r="B4" s="3" t="s">
        <v>16</v>
      </c>
      <c r="C4" s="3" t="s">
        <v>17</v>
      </c>
      <c r="D4" s="2" t="s">
        <v>18</v>
      </c>
      <c r="E4" s="2">
        <v>55000</v>
      </c>
      <c r="F4" s="2">
        <v>700000</v>
      </c>
      <c r="G4" s="2">
        <v>0.41</v>
      </c>
    </row>
    <row r="5" spans="1:9" ht="14.25" customHeight="1">
      <c r="A5" s="2" t="s">
        <v>19</v>
      </c>
      <c r="B5" s="3" t="s">
        <v>20</v>
      </c>
      <c r="C5" s="3" t="s">
        <v>21</v>
      </c>
      <c r="D5" s="2" t="s">
        <v>22</v>
      </c>
      <c r="E5" s="2">
        <v>40000</v>
      </c>
      <c r="F5" s="2">
        <v>550000</v>
      </c>
      <c r="G5" s="2">
        <v>0.32</v>
      </c>
    </row>
    <row r="6" spans="1:9" ht="14.25" customHeight="1">
      <c r="A6" s="2" t="s">
        <v>23</v>
      </c>
      <c r="B6" s="4">
        <v>45901</v>
      </c>
      <c r="C6" s="4">
        <v>45930</v>
      </c>
      <c r="D6" s="2" t="s">
        <v>24</v>
      </c>
      <c r="E6" s="2">
        <v>75000</v>
      </c>
      <c r="F6" s="2">
        <v>880000</v>
      </c>
      <c r="G6" s="2">
        <v>0.47</v>
      </c>
    </row>
    <row r="7" spans="1:9" ht="14.25" customHeight="1"/>
    <row r="8" spans="1:9" ht="14.25" customHeight="1">
      <c r="B8" s="8"/>
      <c r="C8" s="7"/>
    </row>
    <row r="9" spans="1:9" ht="14.25" customHeight="1">
      <c r="I9" s="8"/>
    </row>
    <row r="10" spans="1:9" ht="14.25" customHeight="1"/>
    <row r="11" spans="1:9" ht="14.25" customHeight="1"/>
    <row r="12" spans="1:9" ht="14.25" customHeight="1"/>
    <row r="13" spans="1:9" ht="14.25" customHeight="1"/>
    <row r="15" spans="1:9" ht="14.25" customHeight="1"/>
    <row r="16" spans="1:9"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spans="7:17" ht="14.25" customHeight="1"/>
    <row r="34" spans="7:17" ht="14.25" customHeight="1">
      <c r="G34" s="10"/>
      <c r="H34" s="10"/>
      <c r="I34" s="10"/>
      <c r="J34" s="10"/>
      <c r="K34" s="10"/>
      <c r="L34" s="10"/>
      <c r="M34" s="10"/>
      <c r="N34" s="10"/>
      <c r="O34" s="10"/>
      <c r="P34" s="10"/>
      <c r="Q34" s="10"/>
    </row>
    <row r="35" spans="7:17" ht="14.25" customHeight="1">
      <c r="G35" s="10"/>
      <c r="H35" s="10"/>
      <c r="I35" s="10"/>
      <c r="J35" s="10"/>
      <c r="K35" s="10"/>
      <c r="L35" s="10"/>
      <c r="M35" s="10"/>
      <c r="N35" s="10"/>
      <c r="O35" s="10"/>
      <c r="P35" s="10"/>
      <c r="Q35" s="10"/>
    </row>
    <row r="36" spans="7:17" ht="14.25" customHeight="1">
      <c r="G36" s="10"/>
      <c r="H36" s="10"/>
      <c r="I36" s="10"/>
      <c r="J36" s="10"/>
      <c r="K36" s="10"/>
      <c r="L36" s="10"/>
      <c r="M36" s="10"/>
      <c r="N36" s="10"/>
      <c r="O36" s="10"/>
      <c r="P36" s="10"/>
      <c r="Q36" s="10"/>
    </row>
    <row r="37" spans="7:17" ht="14.25" customHeight="1">
      <c r="G37" s="10"/>
      <c r="H37" s="10"/>
      <c r="I37" s="10"/>
      <c r="J37" s="10"/>
      <c r="K37" s="10"/>
      <c r="L37" s="10"/>
      <c r="M37" s="10"/>
      <c r="N37" s="10"/>
      <c r="O37" s="10"/>
      <c r="P37" s="10"/>
      <c r="Q37" s="10"/>
    </row>
    <row r="38" spans="7:17" ht="14.25" customHeight="1">
      <c r="G38" s="10"/>
      <c r="H38" s="10"/>
      <c r="I38" s="10"/>
      <c r="J38" s="10"/>
      <c r="K38" s="10"/>
      <c r="L38" s="10"/>
      <c r="M38" s="10"/>
      <c r="N38" s="10"/>
      <c r="O38" s="10"/>
      <c r="P38" s="10"/>
      <c r="Q38" s="10"/>
    </row>
    <row r="39" spans="7:17" ht="14.25" customHeight="1">
      <c r="G39" s="10"/>
      <c r="H39" s="10"/>
      <c r="I39" s="10"/>
      <c r="J39" s="10"/>
      <c r="K39" s="10"/>
      <c r="L39" s="10"/>
      <c r="M39" s="10"/>
      <c r="N39" s="10"/>
      <c r="O39" s="10"/>
      <c r="P39" s="10"/>
      <c r="Q39" s="10"/>
    </row>
    <row r="40" spans="7:17" ht="14.25" customHeight="1"/>
    <row r="41" spans="7:17" ht="14.25" customHeight="1"/>
    <row r="42" spans="7:17" ht="14.25" customHeight="1"/>
    <row r="43" spans="7:17" ht="14.25" customHeight="1"/>
    <row r="44" spans="7:17" ht="14.25" customHeight="1"/>
    <row r="45" spans="7:17" ht="14.25" customHeight="1"/>
    <row r="46" spans="7:17" ht="14.25" customHeight="1"/>
    <row r="47" spans="7:17" ht="14.25" customHeight="1"/>
    <row r="48" spans="7:17"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DD237-26D0-489E-8116-0F55D31C35A8}">
  <dimension ref="B3:L41"/>
  <sheetViews>
    <sheetView workbookViewId="0">
      <selection activeCell="E13" sqref="E13"/>
    </sheetView>
  </sheetViews>
  <sheetFormatPr defaultRowHeight="15"/>
  <cols>
    <col min="2" max="2" width="27.7109375" customWidth="1"/>
    <col min="3" max="3" width="23" customWidth="1"/>
    <col min="4" max="4" width="25.42578125" customWidth="1"/>
    <col min="5" max="5" width="22.85546875" customWidth="1"/>
    <col min="6" max="6" width="32.140625" customWidth="1"/>
  </cols>
  <sheetData>
    <row r="3" spans="2:6" ht="21">
      <c r="C3" s="12" t="s">
        <v>25</v>
      </c>
      <c r="D3" s="7"/>
    </row>
    <row r="4" spans="2:6">
      <c r="B4" s="6" t="s">
        <v>0</v>
      </c>
      <c r="C4" s="6" t="s">
        <v>26</v>
      </c>
      <c r="D4" t="s">
        <v>27</v>
      </c>
      <c r="E4" t="s">
        <v>28</v>
      </c>
      <c r="F4" t="s">
        <v>29</v>
      </c>
    </row>
    <row r="5" spans="2:6">
      <c r="B5" t="s">
        <v>23</v>
      </c>
      <c r="C5" s="5">
        <v>880000</v>
      </c>
      <c r="D5" s="5">
        <v>880000</v>
      </c>
      <c r="E5" s="5">
        <v>0.47</v>
      </c>
      <c r="F5" s="5">
        <v>0.47</v>
      </c>
    </row>
    <row r="6" spans="2:6">
      <c r="B6" t="s">
        <v>15</v>
      </c>
      <c r="C6" s="5">
        <v>700000</v>
      </c>
      <c r="D6" s="5">
        <v>700000</v>
      </c>
      <c r="E6" s="5">
        <v>0.41</v>
      </c>
      <c r="F6" s="5">
        <v>0.41</v>
      </c>
    </row>
    <row r="7" spans="2:6">
      <c r="B7" t="s">
        <v>7</v>
      </c>
      <c r="C7" s="5">
        <v>950000</v>
      </c>
      <c r="D7" s="5">
        <v>950000</v>
      </c>
      <c r="E7" s="5">
        <v>0.45</v>
      </c>
      <c r="F7" s="5">
        <v>0.45</v>
      </c>
    </row>
    <row r="8" spans="2:6">
      <c r="B8" t="s">
        <v>11</v>
      </c>
      <c r="C8" s="5">
        <v>780000</v>
      </c>
      <c r="D8" s="5">
        <v>780000</v>
      </c>
      <c r="E8" s="5">
        <v>0.38</v>
      </c>
      <c r="F8" s="5">
        <v>0.38</v>
      </c>
    </row>
    <row r="9" spans="2:6">
      <c r="B9" t="s">
        <v>19</v>
      </c>
      <c r="C9" s="5">
        <v>550000</v>
      </c>
      <c r="D9" s="5">
        <v>550000</v>
      </c>
      <c r="E9" s="5">
        <v>0.32</v>
      </c>
      <c r="F9" s="5">
        <v>0.32</v>
      </c>
    </row>
    <row r="10" spans="2:6">
      <c r="B10" t="s">
        <v>30</v>
      </c>
      <c r="C10" s="5">
        <v>3860000</v>
      </c>
      <c r="D10" s="5">
        <v>772000</v>
      </c>
      <c r="E10" s="5">
        <v>2.0299999999999998</v>
      </c>
      <c r="F10" s="5">
        <v>0.40599999999999997</v>
      </c>
    </row>
    <row r="13" spans="2:6" ht="21">
      <c r="C13" s="12" t="s">
        <v>31</v>
      </c>
    </row>
    <row r="37" spans="2:12" ht="18.75">
      <c r="B37" s="10" t="s">
        <v>32</v>
      </c>
      <c r="C37" s="10"/>
      <c r="D37" s="10"/>
      <c r="E37" s="10"/>
      <c r="F37" s="10"/>
      <c r="G37" s="10"/>
      <c r="H37" s="10"/>
      <c r="I37" s="10"/>
      <c r="J37" s="10"/>
      <c r="K37" s="10"/>
      <c r="L37" s="10"/>
    </row>
    <row r="38" spans="2:12" ht="18.75">
      <c r="B38" s="10" t="s">
        <v>33</v>
      </c>
      <c r="C38" s="10"/>
      <c r="D38" s="10"/>
      <c r="E38" s="10"/>
      <c r="F38" s="10"/>
      <c r="G38" s="10"/>
      <c r="H38" s="10"/>
      <c r="I38" s="10"/>
      <c r="J38" s="10"/>
      <c r="K38" s="10"/>
      <c r="L38" s="10"/>
    </row>
    <row r="39" spans="2:12" ht="18.75">
      <c r="B39" s="10" t="s">
        <v>34</v>
      </c>
      <c r="C39" s="10"/>
      <c r="D39" s="10"/>
      <c r="E39" s="10"/>
      <c r="F39" s="10"/>
      <c r="G39" s="10"/>
      <c r="H39" s="10"/>
      <c r="I39" s="10"/>
      <c r="J39" s="10"/>
      <c r="K39" s="10"/>
      <c r="L39" s="10"/>
    </row>
    <row r="40" spans="2:12" ht="18.75">
      <c r="B40" s="10"/>
      <c r="C40" s="10"/>
      <c r="D40" s="10"/>
      <c r="E40" s="10"/>
      <c r="F40" s="10"/>
      <c r="G40" s="10"/>
      <c r="H40" s="10"/>
      <c r="I40" s="10"/>
      <c r="J40" s="10"/>
      <c r="K40" s="10"/>
      <c r="L40" s="10"/>
    </row>
    <row r="41" spans="2:12" ht="18.75">
      <c r="B41" s="10"/>
      <c r="C41" s="10"/>
      <c r="D41" s="10"/>
      <c r="E41" s="10"/>
      <c r="F41" s="10"/>
      <c r="G41" s="10"/>
      <c r="H41" s="10"/>
      <c r="I41" s="10"/>
      <c r="J41" s="10"/>
      <c r="K41" s="10"/>
      <c r="L41" s="10"/>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88B83-BAC2-4C66-9001-348FFFC95DDC}">
  <dimension ref="A2:D35"/>
  <sheetViews>
    <sheetView workbookViewId="0">
      <selection activeCell="F13" sqref="F13"/>
    </sheetView>
  </sheetViews>
  <sheetFormatPr defaultRowHeight="15"/>
  <cols>
    <col min="1" max="1" width="36.5703125" bestFit="1" customWidth="1"/>
    <col min="2" max="2" width="25.85546875" bestFit="1" customWidth="1"/>
    <col min="3" max="3" width="18.28515625" bestFit="1" customWidth="1"/>
    <col min="4" max="4" width="28.140625" bestFit="1" customWidth="1"/>
  </cols>
  <sheetData>
    <row r="2" spans="1:4" ht="18.75">
      <c r="B2" s="11" t="s">
        <v>35</v>
      </c>
    </row>
    <row r="3" spans="1:4">
      <c r="A3" s="6" t="s">
        <v>0</v>
      </c>
      <c r="B3" t="s">
        <v>36</v>
      </c>
      <c r="C3" t="s">
        <v>37</v>
      </c>
      <c r="D3" t="s">
        <v>38</v>
      </c>
    </row>
    <row r="4" spans="1:4">
      <c r="A4" t="s">
        <v>23</v>
      </c>
      <c r="B4" s="5">
        <v>75000</v>
      </c>
      <c r="C4" s="5">
        <v>880000</v>
      </c>
      <c r="D4" s="5">
        <v>0.47</v>
      </c>
    </row>
    <row r="5" spans="1:4">
      <c r="A5" t="s">
        <v>15</v>
      </c>
      <c r="B5" s="5">
        <v>55000</v>
      </c>
      <c r="C5" s="5">
        <v>700000</v>
      </c>
      <c r="D5" s="5">
        <v>0.41</v>
      </c>
    </row>
    <row r="6" spans="1:4">
      <c r="A6" t="s">
        <v>7</v>
      </c>
      <c r="B6" s="5">
        <v>85000</v>
      </c>
      <c r="C6" s="5">
        <v>950000</v>
      </c>
      <c r="D6" s="5">
        <v>0.45</v>
      </c>
    </row>
    <row r="7" spans="1:4">
      <c r="A7" t="s">
        <v>11</v>
      </c>
      <c r="B7" s="5">
        <v>60000</v>
      </c>
      <c r="C7" s="5">
        <v>780000</v>
      </c>
      <c r="D7" s="5">
        <v>0.38</v>
      </c>
    </row>
    <row r="8" spans="1:4">
      <c r="A8" t="s">
        <v>19</v>
      </c>
      <c r="B8" s="5">
        <v>40000</v>
      </c>
      <c r="C8" s="5">
        <v>550000</v>
      </c>
      <c r="D8" s="5">
        <v>0.32</v>
      </c>
    </row>
    <row r="9" spans="1:4">
      <c r="A9" t="s">
        <v>30</v>
      </c>
      <c r="B9" s="5">
        <v>315000</v>
      </c>
      <c r="C9" s="5">
        <v>3860000</v>
      </c>
      <c r="D9" s="5">
        <v>0.40599999999999997</v>
      </c>
    </row>
    <row r="12" spans="1:4" ht="21">
      <c r="B12" s="12" t="s">
        <v>39</v>
      </c>
    </row>
    <row r="32" spans="1:4" ht="18.75">
      <c r="A32" s="10" t="s">
        <v>40</v>
      </c>
      <c r="B32" s="10"/>
      <c r="C32" s="10"/>
      <c r="D32" s="10"/>
    </row>
    <row r="33" spans="1:4" ht="18.75">
      <c r="A33" s="10" t="s">
        <v>41</v>
      </c>
      <c r="B33" s="10"/>
      <c r="C33" s="10"/>
      <c r="D33" s="10"/>
    </row>
    <row r="34" spans="1:4" ht="18.75">
      <c r="A34" s="10" t="s">
        <v>42</v>
      </c>
      <c r="B34" s="10"/>
      <c r="C34" s="10"/>
      <c r="D34" s="10"/>
    </row>
    <row r="35" spans="1:4" ht="18.75">
      <c r="A35" s="10"/>
      <c r="B35" s="10"/>
      <c r="C35" s="10"/>
      <c r="D35" s="10"/>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E077A-F5CA-41AA-840B-2B1DE0FD5BDD}">
  <dimension ref="B3:E13"/>
  <sheetViews>
    <sheetView workbookViewId="0">
      <selection activeCell="L10" sqref="L10"/>
    </sheetView>
  </sheetViews>
  <sheetFormatPr defaultRowHeight="15"/>
  <cols>
    <col min="2" max="2" width="36.5703125" bestFit="1" customWidth="1"/>
  </cols>
  <sheetData>
    <row r="3" spans="2:5" ht="18">
      <c r="B3" s="13" t="s">
        <v>43</v>
      </c>
    </row>
    <row r="4" spans="2:5" ht="91.5" customHeight="1">
      <c r="B4" s="15" t="s">
        <v>44</v>
      </c>
    </row>
    <row r="6" spans="2:5" ht="36">
      <c r="B6" s="14" t="s">
        <v>45</v>
      </c>
    </row>
    <row r="7" spans="2:5" ht="91.5">
      <c r="B7" s="9" t="s">
        <v>46</v>
      </c>
    </row>
    <row r="9" spans="2:5" ht="18">
      <c r="B9" s="14" t="s">
        <v>47</v>
      </c>
    </row>
    <row r="10" spans="2:5" ht="106.5">
      <c r="B10" s="9" t="s">
        <v>48</v>
      </c>
      <c r="E10" s="14"/>
    </row>
    <row r="11" spans="2:5">
      <c r="E11" s="9"/>
    </row>
    <row r="12" spans="2:5" ht="18">
      <c r="B12" s="14" t="s">
        <v>49</v>
      </c>
    </row>
    <row r="13" spans="2:5" ht="45.75">
      <c r="B13" s="9"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2026-04-30T16:56:49Z</dcterms:created>
  <dcterms:modified xsi:type="dcterms:W3CDTF">2026-05-01T09:57:18Z</dcterms:modified>
  <cp:category/>
  <cp:contentStatus/>
</cp:coreProperties>
</file>