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xr:revisionPtr revIDLastSave="0" documentId="8_{6536417D-9974-4EA6-AC4B-B67E284229C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ngagement Summary" sheetId="2" r:id="rId1"/>
    <sheet name=" Analysis" sheetId="3" r:id="rId2"/>
  </sheets>
  <calcPr calcId="191028"/>
  <pivotCaches>
    <pivotCache cacheId="2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<sst xmlns="http://schemas.openxmlformats.org/spreadsheetml/2006/main" count="430" uniqueCount="79">
  <si>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</si>
  <si>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</si>
  <si>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</si>
  <si>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</si>
  <si>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</si>
  <si>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</si>
  <si>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</si>
  <si>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Followers_Growth</t>
  </si>
  <si>
    <t>2024-06-03</t>
  </si>
  <si>
    <t>Instagram</t>
  </si>
  <si>
    <t>Twitter</t>
  </si>
  <si>
    <t>YouTube</t>
  </si>
  <si>
    <t>2024-06-10</t>
  </si>
  <si>
    <t>2024-06-17</t>
  </si>
  <si>
    <t>LinkedIn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</si>
  <si>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</si>
  <si>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</si>
  <si>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</si>
  <si>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</si>
  <si>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</si>
  <si>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</si>
  <si>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</si>
  <si>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</si>
  <si>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</si>
  <si>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</si>
  <si>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</si>
  <si>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</si>
  <si>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</si>
  <si>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</si>
  <si>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</si>
  <si>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</si>
  <si>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</si>
  <si>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</si>
  <si>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</si>
  <si>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</si>
  <si>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</si>
  <si>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</si>
  <si>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</si>
  <si>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</si>
  <si>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</si>
  <si>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</si>
  <si>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</si>
  <si>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</si>
  <si>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</si>
  <si>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</si>
  <si>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</si>
  <si>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</si>
  <si>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</si>
  <si>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</si>
  <si>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</si>
  <si>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</si>
  <si>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</si>
  <si>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</si>
  <si>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</si>
  <si>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</si>
  <si>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</si>
  <si>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</si>
  <si>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</si>
  <si>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</si>
  <si>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</si>
  <si>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</si>
  <si>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</si>
  <si>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Platform-wise Average Engagement Rate</t>
  </si>
  <si>
    <t>Platform Performance Summary</t>
  </si>
  <si>
    <t>Sum of Followers_Growth</t>
  </si>
  <si>
    <t>Average of Engagement_Rate</t>
  </si>
  <si>
    <t>Grand Total</t>
  </si>
  <si>
    <t>Ad Spend vs Engagement Rate</t>
  </si>
  <si>
    <t>1.This chart shows the average engagement rate across different platforms.</t>
  </si>
  <si>
    <t>2.Some platforms have higher engagement compared to others.</t>
  </si>
  <si>
    <t>3.This helps identify which platform performs better.</t>
  </si>
  <si>
    <t>Advise Apple’s team:</t>
  </si>
  <si>
    <t>1.Apples team should have more focus on instagram and youtube for the engagement</t>
  </si>
  <si>
    <t xml:space="preserve">2.Ad must me spend according to the growing community </t>
  </si>
  <si>
    <t>1.In the above scatter chart dots going upward means more money and more engagement is there.</t>
  </si>
  <si>
    <t xml:space="preserve">2.Ad spend does not always increase the engagement </t>
  </si>
  <si>
    <t>3.you tube have high very high engagement rate but have less followers so team need to be focus their</t>
  </si>
  <si>
    <t xml:space="preserve">4.twitter also have high followers growth but less engagement rate as compare to followers </t>
  </si>
  <si>
    <t>5.most lowest engaagement rate is having on linkedin so need to be improve their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</si>
</sst>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u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theme="1"/>
      <name val="Calibri"/>
      <scheme val="minor"/>
    </font>
    <font>
      <sz val="9"/>
      <color theme="1"/>
      <name val="Calibri"/>
      <scheme val="minor"/>
    </font>
    <font>
      <b/>
      <sz val="14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 applyAlignment="1"/>
    <xf numFmtId="165" fontId="3" fillId="0" borderId="0" xfId="0" applyNumberFormat="1" applyFont="1" applyAlignment="1"/>
    <xf numFmtId="0" fontId="1" fillId="0" borderId="1" xfId="0" applyFont="1" applyBorder="1" applyAlignment="1">
      <alignment horizontal="center" vertical="top" wrapText="1"/>
    </xf>
    <xf numFmtId="0" fontId="0" fillId="0" borderId="0" xfId="0" pivotButton="1" applyFont="1" applyAlignment="1"/>
    <xf numFmtId="0" fontId="0" fillId="0" borderId="0" xfId="0" applyNumberFormat="1" applyFont="1" applyAlignment="1"/>
    <xf numFmtId="1" fontId="0" fillId="0" borderId="0" xfId="0" applyNumberFormat="1" applyFont="1" applyAlignment="1"/>
    <xf numFmtId="0" fontId="4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 Platform analysis.xlsx]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Analysis'!$B$3</c:f>
              <c:strCache>
                <c:ptCount val="1"/>
                <c:pt idx="0">
                  <c:v>Sum of Followers_Growth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Analysis'!$A$4:$A$8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 Analysis'!$B$4:$B$8</c:f>
              <c:numCache>
                <c:formatCode>General</c:formatCode>
                <c:ptCount val="4"/>
                <c:pt idx="0">
                  <c:v>261862</c:v>
                </c:pt>
                <c:pt idx="1">
                  <c:v>290487</c:v>
                </c:pt>
                <c:pt idx="2">
                  <c:v>303407</c:v>
                </c:pt>
                <c:pt idx="3">
                  <c:v>230642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8-4FAB-8747-79367EFA4458}"/>
            </c:ext>
          </c:extLst>
        </c:ser>
        <c:ser>
          <c:idx val="1"/>
          <c:order val="1"/>
          <c:tx>
            <c:strRef>
              <c:f>' Analysis'!$C$3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Analysis'!$A$4:$A$8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 Analysis'!$C$4:$C$8</c:f>
              <c:numCache>
                <c:formatCode>0</c:formatCode>
                <c:ptCount val="4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8-4FAB-8747-79367EFA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872968"/>
        <c:axId val="151513095"/>
      </c:barChart>
      <c:catAx>
        <c:axId val="11368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3095"/>
        <c:crosses val="autoZero"/>
        <c:auto val="1"/>
        <c:lblAlgn val="ctr"/>
        <c:lblOffset val="100"/>
        <c:noMultiLvlLbl val="0"/>
      </c:catAx>
      <c:valAx>
        <c:axId val="15151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87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9018984385426394"/>
          <c:y val="5.348342293906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'Engagement Summary'!$G$1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'Engagement Summary'!$F$2:$F$201</c:f>
              <c:numCache>
                <c:formatCode>0</c:formatCode>
                <c:ptCount val="200"/>
                <c:pt idx="0">
                  <c:v>56.637790647253247</c:v>
                </c:pt>
                <c:pt idx="1">
                  <c:v>69.475492091467416</c:v>
                </c:pt>
                <c:pt idx="2">
                  <c:v>92.312204605638044</c:v>
                </c:pt>
                <c:pt idx="3">
                  <c:v>16.351815601833291</c:v>
                </c:pt>
                <c:pt idx="4">
                  <c:v>35.577824398518047</c:v>
                </c:pt>
                <c:pt idx="5">
                  <c:v>52.064892597395271</c:v>
                </c:pt>
                <c:pt idx="6">
                  <c:v>19.551862698358651</c:v>
                </c:pt>
                <c:pt idx="7">
                  <c:v>49.159817655475329</c:v>
                </c:pt>
                <c:pt idx="8">
                  <c:v>12.2263294381709</c:v>
                </c:pt>
                <c:pt idx="9">
                  <c:v>54.158984064961238</c:v>
                </c:pt>
                <c:pt idx="10">
                  <c:v>9.2506362964613711</c:v>
                </c:pt>
                <c:pt idx="11">
                  <c:v>60.425889350496043</c:v>
                </c:pt>
                <c:pt idx="12">
                  <c:v>57.524479307546663</c:v>
                </c:pt>
                <c:pt idx="13">
                  <c:v>14.827522597306769</c:v>
                </c:pt>
                <c:pt idx="14">
                  <c:v>5.4343004617214756</c:v>
                </c:pt>
                <c:pt idx="15">
                  <c:v>60.827661631301943</c:v>
                </c:pt>
                <c:pt idx="16">
                  <c:v>17.894035955483691</c:v>
                </c:pt>
                <c:pt idx="17">
                  <c:v>7.6914636320825887</c:v>
                </c:pt>
                <c:pt idx="18">
                  <c:v>12.8372197814577</c:v>
                </c:pt>
                <c:pt idx="19">
                  <c:v>17.41278694508371</c:v>
                </c:pt>
                <c:pt idx="20">
                  <c:v>47.634187798207087</c:v>
                </c:pt>
                <c:pt idx="21">
                  <c:v>39.284614068115687</c:v>
                </c:pt>
                <c:pt idx="22">
                  <c:v>9.8205504342462788</c:v>
                </c:pt>
                <c:pt idx="23">
                  <c:v>41.606628834608109</c:v>
                </c:pt>
                <c:pt idx="24">
                  <c:v>13.6355899921383</c:v>
                </c:pt>
                <c:pt idx="25">
                  <c:v>20.47246886054408</c:v>
                </c:pt>
                <c:pt idx="26">
                  <c:v>11.2083665774941</c:v>
                </c:pt>
                <c:pt idx="27">
                  <c:v>12.15762550327738</c:v>
                </c:pt>
                <c:pt idx="28">
                  <c:v>37.302925586213682</c:v>
                </c:pt>
                <c:pt idx="29">
                  <c:v>41.82171496581897</c:v>
                </c:pt>
                <c:pt idx="30">
                  <c:v>52.792102811910027</c:v>
                </c:pt>
                <c:pt idx="31">
                  <c:v>49.647922622483861</c:v>
                </c:pt>
                <c:pt idx="32">
                  <c:v>28.158158777282971</c:v>
                </c:pt>
                <c:pt idx="33">
                  <c:v>23.920557913887201</c:v>
                </c:pt>
                <c:pt idx="34">
                  <c:v>44.219272975538267</c:v>
                </c:pt>
                <c:pt idx="35">
                  <c:v>14.117673944839121</c:v>
                </c:pt>
                <c:pt idx="36">
                  <c:v>27.765518533715429</c:v>
                </c:pt>
                <c:pt idx="37">
                  <c:v>21.669318305251519</c:v>
                </c:pt>
                <c:pt idx="38">
                  <c:v>46.999749649033298</c:v>
                </c:pt>
                <c:pt idx="39">
                  <c:v>5.2152906954969351</c:v>
                </c:pt>
                <c:pt idx="40">
                  <c:v>14.71218489327067</c:v>
                </c:pt>
                <c:pt idx="41">
                  <c:v>44.450416151231643</c:v>
                </c:pt>
                <c:pt idx="42">
                  <c:v>28.065042562888689</c:v>
                </c:pt>
                <c:pt idx="43">
                  <c:v>26.003918292085629</c:v>
                </c:pt>
                <c:pt idx="44">
                  <c:v>13.47730290104799</c:v>
                </c:pt>
                <c:pt idx="45">
                  <c:v>4.6034181702735593</c:v>
                </c:pt>
                <c:pt idx="46">
                  <c:v>5.7694619613329108</c:v>
                </c:pt>
                <c:pt idx="47">
                  <c:v>20.46539508359615</c:v>
                </c:pt>
                <c:pt idx="48">
                  <c:v>38.012181840183942</c:v>
                </c:pt>
                <c:pt idx="49">
                  <c:v>37.86101298137271</c:v>
                </c:pt>
                <c:pt idx="50">
                  <c:v>3.6633501706626168</c:v>
                </c:pt>
                <c:pt idx="51">
                  <c:v>37.760512537325639</c:v>
                </c:pt>
                <c:pt idx="52">
                  <c:v>30.118586640851881</c:v>
                </c:pt>
                <c:pt idx="53">
                  <c:v>33.909842729106657</c:v>
                </c:pt>
                <c:pt idx="54">
                  <c:v>24.457411123534769</c:v>
                </c:pt>
                <c:pt idx="55">
                  <c:v>10.494255737609739</c:v>
                </c:pt>
                <c:pt idx="56">
                  <c:v>33.257448118038738</c:v>
                </c:pt>
                <c:pt idx="57">
                  <c:v>6.2966210699906267</c:v>
                </c:pt>
                <c:pt idx="58">
                  <c:v>6.9547481175882924</c:v>
                </c:pt>
                <c:pt idx="59">
                  <c:v>17.750287883797562</c:v>
                </c:pt>
                <c:pt idx="60">
                  <c:v>11.194362999670229</c:v>
                </c:pt>
                <c:pt idx="61">
                  <c:v>4.7335970426459033</c:v>
                </c:pt>
                <c:pt idx="62">
                  <c:v>29.92120910472568</c:v>
                </c:pt>
                <c:pt idx="63">
                  <c:v>3.5037017293827661</c:v>
                </c:pt>
                <c:pt idx="64">
                  <c:v>31.554451487636339</c:v>
                </c:pt>
                <c:pt idx="65">
                  <c:v>29.45844233727631</c:v>
                </c:pt>
                <c:pt idx="66">
                  <c:v>15.72131694865968</c:v>
                </c:pt>
                <c:pt idx="67">
                  <c:v>19.214592793018038</c:v>
                </c:pt>
                <c:pt idx="68">
                  <c:v>25.077864756828781</c:v>
                </c:pt>
                <c:pt idx="69">
                  <c:v>23.761877132122681</c:v>
                </c:pt>
                <c:pt idx="70">
                  <c:v>13.208603641390511</c:v>
                </c:pt>
                <c:pt idx="71">
                  <c:v>8.5343795690395261</c:v>
                </c:pt>
                <c:pt idx="72">
                  <c:v>12.734216154573531</c:v>
                </c:pt>
                <c:pt idx="73">
                  <c:v>25.120888149654821</c:v>
                </c:pt>
                <c:pt idx="74">
                  <c:v>25.64820077827817</c:v>
                </c:pt>
                <c:pt idx="75">
                  <c:v>13.08758391243577</c:v>
                </c:pt>
                <c:pt idx="76">
                  <c:v>2.1877429775253669</c:v>
                </c:pt>
                <c:pt idx="77">
                  <c:v>8.3562843787534522</c:v>
                </c:pt>
                <c:pt idx="78">
                  <c:v>27.040693108281051</c:v>
                </c:pt>
                <c:pt idx="79">
                  <c:v>6.8073045370110723</c:v>
                </c:pt>
                <c:pt idx="80">
                  <c:v>3.4213758985797149</c:v>
                </c:pt>
                <c:pt idx="81">
                  <c:v>5.5136820660139527</c:v>
                </c:pt>
                <c:pt idx="82">
                  <c:v>26.921416897669499</c:v>
                </c:pt>
                <c:pt idx="83">
                  <c:v>3.5131404829323132</c:v>
                </c:pt>
                <c:pt idx="84">
                  <c:v>11.50507059442103</c:v>
                </c:pt>
                <c:pt idx="85">
                  <c:v>6.4069368024305948</c:v>
                </c:pt>
                <c:pt idx="86">
                  <c:v>17.560907617280929</c:v>
                </c:pt>
                <c:pt idx="87">
                  <c:v>7.2934726185185053</c:v>
                </c:pt>
                <c:pt idx="88">
                  <c:v>18.05853488496809</c:v>
                </c:pt>
                <c:pt idx="89">
                  <c:v>17.61788048552755</c:v>
                </c:pt>
                <c:pt idx="90">
                  <c:v>23.435841125050029</c:v>
                </c:pt>
                <c:pt idx="91">
                  <c:v>15.150015424690389</c:v>
                </c:pt>
                <c:pt idx="92">
                  <c:v>21.77776899411715</c:v>
                </c:pt>
                <c:pt idx="93">
                  <c:v>8.7252768666168681</c:v>
                </c:pt>
                <c:pt idx="94">
                  <c:v>9.07118069540617</c:v>
                </c:pt>
                <c:pt idx="95">
                  <c:v>3.0908004511744269</c:v>
                </c:pt>
                <c:pt idx="96">
                  <c:v>1.6774727155188811</c:v>
                </c:pt>
                <c:pt idx="97">
                  <c:v>3.5705994553828009</c:v>
                </c:pt>
                <c:pt idx="98">
                  <c:v>12.426427091999111</c:v>
                </c:pt>
                <c:pt idx="99">
                  <c:v>20.240280610668151</c:v>
                </c:pt>
                <c:pt idx="100">
                  <c:v>15.458517947974901</c:v>
                </c:pt>
                <c:pt idx="101">
                  <c:v>15.96622018839439</c:v>
                </c:pt>
                <c:pt idx="102">
                  <c:v>5.301785453341723</c:v>
                </c:pt>
                <c:pt idx="103">
                  <c:v>10.21656296011305</c:v>
                </c:pt>
                <c:pt idx="104">
                  <c:v>4.1495730660972248</c:v>
                </c:pt>
                <c:pt idx="105">
                  <c:v>17.44750613869045</c:v>
                </c:pt>
                <c:pt idx="106">
                  <c:v>6.3556780346167558</c:v>
                </c:pt>
                <c:pt idx="107">
                  <c:v>16.625487131094989</c:v>
                </c:pt>
                <c:pt idx="108">
                  <c:v>13.449169969047761</c:v>
                </c:pt>
                <c:pt idx="109">
                  <c:v>12.35057894004413</c:v>
                </c:pt>
                <c:pt idx="110">
                  <c:v>12.913394489201821</c:v>
                </c:pt>
                <c:pt idx="111">
                  <c:v>20.774215903216671</c:v>
                </c:pt>
                <c:pt idx="112">
                  <c:v>11.56416728213479</c:v>
                </c:pt>
                <c:pt idx="113">
                  <c:v>5.9603306848881932</c:v>
                </c:pt>
                <c:pt idx="114">
                  <c:v>19.25863351426683</c:v>
                </c:pt>
                <c:pt idx="115">
                  <c:v>13.428486445958599</c:v>
                </c:pt>
                <c:pt idx="116">
                  <c:v>19.449384891535139</c:v>
                </c:pt>
                <c:pt idx="117">
                  <c:v>1.381177897889402</c:v>
                </c:pt>
                <c:pt idx="118">
                  <c:v>18.0667803230575</c:v>
                </c:pt>
                <c:pt idx="119">
                  <c:v>10.34986590877523</c:v>
                </c:pt>
                <c:pt idx="120">
                  <c:v>11.391727789638329</c:v>
                </c:pt>
                <c:pt idx="121">
                  <c:v>15.06231294947961</c:v>
                </c:pt>
                <c:pt idx="122">
                  <c:v>6.3086149427901264</c:v>
                </c:pt>
                <c:pt idx="123">
                  <c:v>5.0212654702089274</c:v>
                </c:pt>
                <c:pt idx="124">
                  <c:v>4.0220344099003924</c:v>
                </c:pt>
                <c:pt idx="125">
                  <c:v>12.407287318121019</c:v>
                </c:pt>
                <c:pt idx="126">
                  <c:v>9.1811305577864442</c:v>
                </c:pt>
                <c:pt idx="127">
                  <c:v>8.1379717408784362</c:v>
                </c:pt>
                <c:pt idx="128">
                  <c:v>15.211945357818079</c:v>
                </c:pt>
                <c:pt idx="129">
                  <c:v>13.941172331466399</c:v>
                </c:pt>
                <c:pt idx="130">
                  <c:v>14.664542877660701</c:v>
                </c:pt>
                <c:pt idx="131">
                  <c:v>18.236747441373989</c:v>
                </c:pt>
                <c:pt idx="132">
                  <c:v>7.1083748727213809</c:v>
                </c:pt>
                <c:pt idx="133">
                  <c:v>7.6464588474579518</c:v>
                </c:pt>
                <c:pt idx="134">
                  <c:v>12.96217457722318</c:v>
                </c:pt>
                <c:pt idx="135">
                  <c:v>7.201344336027284</c:v>
                </c:pt>
                <c:pt idx="136">
                  <c:v>4.6300017457998282</c:v>
                </c:pt>
                <c:pt idx="137">
                  <c:v>7.0117859410726204</c:v>
                </c:pt>
                <c:pt idx="138">
                  <c:v>15.7972230504839</c:v>
                </c:pt>
                <c:pt idx="139">
                  <c:v>11.124410036033691</c:v>
                </c:pt>
                <c:pt idx="140">
                  <c:v>9.5052903929580594</c:v>
                </c:pt>
                <c:pt idx="141">
                  <c:v>3.7175793161543158</c:v>
                </c:pt>
                <c:pt idx="142">
                  <c:v>8.768004820772493</c:v>
                </c:pt>
                <c:pt idx="143">
                  <c:v>7.6673478620345374</c:v>
                </c:pt>
                <c:pt idx="144">
                  <c:v>14.24879726306582</c:v>
                </c:pt>
                <c:pt idx="145">
                  <c:v>15.903372530266649</c:v>
                </c:pt>
                <c:pt idx="146">
                  <c:v>1.3997016829812241</c:v>
                </c:pt>
                <c:pt idx="147">
                  <c:v>10.593534734448189</c:v>
                </c:pt>
                <c:pt idx="148">
                  <c:v>9.2688963078737441</c:v>
                </c:pt>
                <c:pt idx="149">
                  <c:v>2.7289026948963189</c:v>
                </c:pt>
                <c:pt idx="150">
                  <c:v>14.789893749580139</c:v>
                </c:pt>
                <c:pt idx="151">
                  <c:v>2.3800168578696428</c:v>
                </c:pt>
                <c:pt idx="152">
                  <c:v>3.4123325814333292</c:v>
                </c:pt>
                <c:pt idx="153">
                  <c:v>1.9837452629066989</c:v>
                </c:pt>
                <c:pt idx="154">
                  <c:v>15.684892498324469</c:v>
                </c:pt>
                <c:pt idx="155">
                  <c:v>7.4744446725989153</c:v>
                </c:pt>
                <c:pt idx="156">
                  <c:v>4.6083932009689246</c:v>
                </c:pt>
                <c:pt idx="157">
                  <c:v>6.5651927367759271</c:v>
                </c:pt>
                <c:pt idx="158">
                  <c:v>2.9062061457685191</c:v>
                </c:pt>
                <c:pt idx="159">
                  <c:v>2.5803804535313102</c:v>
                </c:pt>
                <c:pt idx="160">
                  <c:v>1.525036393488727</c:v>
                </c:pt>
                <c:pt idx="161">
                  <c:v>3.8694093263203548</c:v>
                </c:pt>
                <c:pt idx="162">
                  <c:v>2.1106477061454201</c:v>
                </c:pt>
                <c:pt idx="163">
                  <c:v>2.4004972007397871</c:v>
                </c:pt>
                <c:pt idx="164">
                  <c:v>10.43086517280971</c:v>
                </c:pt>
                <c:pt idx="165">
                  <c:v>12.45517502708741</c:v>
                </c:pt>
                <c:pt idx="166">
                  <c:v>8.7022876773406619</c:v>
                </c:pt>
                <c:pt idx="167">
                  <c:v>6.0590578244060822</c:v>
                </c:pt>
                <c:pt idx="168">
                  <c:v>6.4086467971263694</c:v>
                </c:pt>
                <c:pt idx="169">
                  <c:v>14.03040201562029</c:v>
                </c:pt>
                <c:pt idx="170">
                  <c:v>5.7680529449373434</c:v>
                </c:pt>
                <c:pt idx="171">
                  <c:v>4.2080986012648651</c:v>
                </c:pt>
                <c:pt idx="172">
                  <c:v>5.057443868445171</c:v>
                </c:pt>
                <c:pt idx="173">
                  <c:v>5.5892257158735816</c:v>
                </c:pt>
                <c:pt idx="174">
                  <c:v>6.5457075572682513</c:v>
                </c:pt>
                <c:pt idx="175">
                  <c:v>13.86474263299608</c:v>
                </c:pt>
                <c:pt idx="176">
                  <c:v>8.1237966902808925</c:v>
                </c:pt>
                <c:pt idx="177">
                  <c:v>6.8954477628560609</c:v>
                </c:pt>
                <c:pt idx="178">
                  <c:v>5.2243073531483697</c:v>
                </c:pt>
                <c:pt idx="179">
                  <c:v>12.709772588488899</c:v>
                </c:pt>
                <c:pt idx="180">
                  <c:v>9.589697749395782</c:v>
                </c:pt>
                <c:pt idx="181">
                  <c:v>9.3041390360253633</c:v>
                </c:pt>
                <c:pt idx="182">
                  <c:v>12.21550055903389</c:v>
                </c:pt>
                <c:pt idx="183">
                  <c:v>1.64146056637986</c:v>
                </c:pt>
                <c:pt idx="184">
                  <c:v>12.414411899944</c:v>
                </c:pt>
                <c:pt idx="185">
                  <c:v>2.2102165031989389</c:v>
                </c:pt>
                <c:pt idx="186">
                  <c:v>8.1114645768679008</c:v>
                </c:pt>
                <c:pt idx="187">
                  <c:v>10.23489267325616</c:v>
                </c:pt>
                <c:pt idx="188">
                  <c:v>8.7776256772995165</c:v>
                </c:pt>
                <c:pt idx="189">
                  <c:v>5.6959041015180816</c:v>
                </c:pt>
                <c:pt idx="190">
                  <c:v>11.940413075069831</c:v>
                </c:pt>
                <c:pt idx="191">
                  <c:v>6.3457020771224837</c:v>
                </c:pt>
                <c:pt idx="192">
                  <c:v>11.093752033137431</c:v>
                </c:pt>
                <c:pt idx="193">
                  <c:v>6.9871371390821126</c:v>
                </c:pt>
                <c:pt idx="194">
                  <c:v>2.8935771844710412</c:v>
                </c:pt>
                <c:pt idx="195">
                  <c:v>3.8777032065622672</c:v>
                </c:pt>
                <c:pt idx="196">
                  <c:v>7.2439221876024931</c:v>
                </c:pt>
                <c:pt idx="197">
                  <c:v>9.095964565675672</c:v>
                </c:pt>
                <c:pt idx="198">
                  <c:v>5.2275645864752214</c:v>
                </c:pt>
                <c:pt idx="199">
                  <c:v>1.676081719625286</c:v>
                </c:pt>
              </c:numCache>
            </c:numRef>
          </c:xVal>
          <c:yVal>
            <c:numRef>
              <c:f>'Engagement Summary'!$G$2:$G$201</c:f>
              <c:numCache>
                <c:formatCode>General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240-950E-8C6651352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911368"/>
        <c:axId val="1136913416"/>
      </c:scatterChart>
      <c:valAx>
        <c:axId val="113691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13416"/>
        <c:crosses val="autoZero"/>
        <c:crossBetween val="midCat"/>
      </c:valAx>
      <c:valAx>
        <c:axId val="113691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11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</xdr:row>
      <xdr:rowOff>9525</xdr:rowOff>
    </xdr:from>
    <xdr:to>
      <xdr:col>12</xdr:col>
      <xdr:colOff>200025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F759E-C5BB-ED79-C62E-BF1E53D2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11</xdr:row>
      <xdr:rowOff>28575</xdr:rowOff>
    </xdr:from>
    <xdr:to>
      <xdr:col>3</xdr:col>
      <xdr:colOff>171450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D80B4-8119-B01F-E42A-1E2CF8296178}"/>
            </a:ext>
            <a:ext uri="{147F2762-F138-4A5C-976F-8EAC2B608ADB}">
              <a16:predDERef xmlns:a16="http://schemas.microsoft.com/office/drawing/2014/main" pred="{9EFF759E-C5BB-ED79-C62E-BF1E53D2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784193055559" createdVersion="8" refreshedVersion="8" minRefreshableVersion="3" recordCount="200" xr:uid="{7D33260D-2207-4B7E-9909-332D9D451430}">
  <cacheSource type="worksheet">
    <worksheetSource ref="A1:H201" sheet="Engagement Summary"/>
  </cacheSource>
  <cacheFields count="8"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Followers_Growth" numFmtId="0">
      <sharedItems containsSemiMixedTypes="0" containsString="0" containsNumber="1" containsInteger="1" minValue="893" maxValue="9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4138"/>
    <n v="361"/>
    <n v="103777"/>
    <n v="56.637790647253247"/>
    <n v="23944"/>
    <n v="3777"/>
  </r>
  <r>
    <s v="2024-06-03"/>
    <x v="1"/>
    <n v="8693"/>
    <n v="1261"/>
    <n v="111209"/>
    <n v="69.475492091467416"/>
    <n v="29873"/>
    <n v="7432"/>
  </r>
  <r>
    <s v="2024-06-03"/>
    <x v="2"/>
    <n v="9264"/>
    <n v="1141"/>
    <n v="119332"/>
    <n v="92.312204605638044"/>
    <n v="50372"/>
    <n v="8123"/>
  </r>
  <r>
    <s v="2024-06-03"/>
    <x v="2"/>
    <n v="8842"/>
    <n v="971"/>
    <n v="127203"/>
    <n v="16.351815601833291"/>
    <n v="33928"/>
    <n v="7871"/>
  </r>
  <r>
    <s v="2024-06-10"/>
    <x v="0"/>
    <n v="7721"/>
    <n v="506"/>
    <n v="134418"/>
    <n v="35.577824398518047"/>
    <n v="25379"/>
    <n v="7215"/>
  </r>
  <r>
    <s v="2024-06-10"/>
    <x v="2"/>
    <n v="8002"/>
    <n v="524"/>
    <n v="141896"/>
    <n v="52.064892597395271"/>
    <n v="46751"/>
    <n v="7478"/>
  </r>
  <r>
    <s v="2024-06-10"/>
    <x v="1"/>
    <n v="5225"/>
    <n v="291"/>
    <n v="146830"/>
    <n v="19.551862698358651"/>
    <n v="44546"/>
    <n v="4934"/>
  </r>
  <r>
    <s v="2024-06-10"/>
    <x v="1"/>
    <n v="3978"/>
    <n v="543"/>
    <n v="150265"/>
    <n v="49.159817655475329"/>
    <n v="34286"/>
    <n v="3435"/>
  </r>
  <r>
    <s v="2024-06-17"/>
    <x v="0"/>
    <n v="8373"/>
    <n v="921"/>
    <n v="157717"/>
    <n v="12.2263294381709"/>
    <n v="15110"/>
    <n v="7452"/>
  </r>
  <r>
    <s v="2024-06-17"/>
    <x v="1"/>
    <n v="6907"/>
    <n v="834"/>
    <n v="163790"/>
    <n v="54.158984064961238"/>
    <n v="22087"/>
    <n v="6073"/>
  </r>
  <r>
    <s v="2024-06-17"/>
    <x v="3"/>
    <n v="7097"/>
    <n v="369"/>
    <n v="170518"/>
    <n v="9.2506362964613711"/>
    <n v="33762"/>
    <n v="6728"/>
  </r>
  <r>
    <s v="2024-06-17"/>
    <x v="0"/>
    <n v="6656"/>
    <n v="978"/>
    <n v="176196"/>
    <n v="60.425889350496043"/>
    <n v="27081"/>
    <n v="5678"/>
  </r>
  <r>
    <s v="2024-06-24"/>
    <x v="1"/>
    <n v="9984"/>
    <n v="1330"/>
    <n v="184850"/>
    <n v="57.524479307546663"/>
    <n v="44947"/>
    <n v="8654"/>
  </r>
  <r>
    <s v="2024-06-24"/>
    <x v="0"/>
    <n v="5259"/>
    <n v="374"/>
    <n v="189735"/>
    <n v="14.827522597306769"/>
    <n v="19596"/>
    <n v="4885"/>
  </r>
  <r>
    <s v="2024-06-24"/>
    <x v="2"/>
    <n v="9286"/>
    <n v="633"/>
    <n v="198388"/>
    <n v="5.4343004617214756"/>
    <n v="48019"/>
    <n v="8653"/>
  </r>
  <r>
    <s v="2024-06-24"/>
    <x v="1"/>
    <n v="6901"/>
    <n v="471"/>
    <n v="204818"/>
    <n v="60.827661631301943"/>
    <n v="52003"/>
    <n v="6430"/>
  </r>
  <r>
    <s v="2024-07-01"/>
    <x v="3"/>
    <n v="5917"/>
    <n v="475"/>
    <n v="210260"/>
    <n v="17.894035955483691"/>
    <n v="28313"/>
    <n v="5442"/>
  </r>
  <r>
    <s v="2024-07-01"/>
    <x v="1"/>
    <n v="9429"/>
    <n v="966"/>
    <n v="218723"/>
    <n v="7.6914636320825887"/>
    <n v="57639"/>
    <n v="8463"/>
  </r>
  <r>
    <s v="2024-07-01"/>
    <x v="0"/>
    <n v="3530"/>
    <n v="328"/>
    <n v="221925"/>
    <n v="12.8372197814577"/>
    <n v="11013"/>
    <n v="3202"/>
  </r>
  <r>
    <s v="2024-07-01"/>
    <x v="0"/>
    <n v="2960"/>
    <n v="234"/>
    <n v="224651"/>
    <n v="17.41278694508371"/>
    <n v="59378"/>
    <n v="2726"/>
  </r>
  <r>
    <s v="2024-07-08"/>
    <x v="1"/>
    <n v="8045"/>
    <n v="894"/>
    <n v="231802"/>
    <n v="47.634187798207087"/>
    <n v="33705"/>
    <n v="7151"/>
  </r>
  <r>
    <s v="2024-07-08"/>
    <x v="3"/>
    <n v="2048"/>
    <n v="130"/>
    <n v="233720"/>
    <n v="39.284614068115687"/>
    <n v="11828"/>
    <n v="1918"/>
  </r>
  <r>
    <s v="2024-07-08"/>
    <x v="3"/>
    <n v="6772"/>
    <n v="536"/>
    <n v="239956"/>
    <n v="9.8205504342462788"/>
    <n v="17909"/>
    <n v="6236"/>
  </r>
  <r>
    <s v="2024-07-08"/>
    <x v="3"/>
    <n v="3529"/>
    <n v="305"/>
    <n v="243180"/>
    <n v="41.606628834608109"/>
    <n v="48356"/>
    <n v="3224"/>
  </r>
  <r>
    <s v="2024-07-15"/>
    <x v="0"/>
    <n v="3964"/>
    <n v="378"/>
    <n v="246766"/>
    <n v="13.6355899921383"/>
    <n v="23109"/>
    <n v="3586"/>
  </r>
  <r>
    <s v="2024-07-15"/>
    <x v="1"/>
    <n v="8137"/>
    <n v="1045"/>
    <n v="253858"/>
    <n v="20.47246886054408"/>
    <n v="12023"/>
    <n v="7092"/>
  </r>
  <r>
    <s v="2024-07-15"/>
    <x v="2"/>
    <n v="1963"/>
    <n v="137"/>
    <n v="255684"/>
    <n v="11.2083665774941"/>
    <n v="24537"/>
    <n v="1826"/>
  </r>
  <r>
    <s v="2024-07-15"/>
    <x v="0"/>
    <n v="1536"/>
    <n v="155"/>
    <n v="257065"/>
    <n v="12.15762550327738"/>
    <n v="36661"/>
    <n v="1381"/>
  </r>
  <r>
    <s v="2024-07-22"/>
    <x v="3"/>
    <n v="8340"/>
    <n v="911"/>
    <n v="264494"/>
    <n v="37.302925586213682"/>
    <n v="48659"/>
    <n v="7429"/>
  </r>
  <r>
    <s v="2024-07-22"/>
    <x v="1"/>
    <n v="8179"/>
    <n v="446"/>
    <n v="272227"/>
    <n v="41.82171496581897"/>
    <n v="43848"/>
    <n v="7733"/>
  </r>
  <r>
    <s v="2024-07-22"/>
    <x v="3"/>
    <n v="8967"/>
    <n v="993"/>
    <n v="280201"/>
    <n v="52.792102811910027"/>
    <n v="47804"/>
    <n v="7974"/>
  </r>
  <r>
    <s v="2024-07-22"/>
    <x v="2"/>
    <n v="9734"/>
    <n v="652"/>
    <n v="289283"/>
    <n v="49.647922622483861"/>
    <n v="25379"/>
    <n v="9082"/>
  </r>
  <r>
    <s v="2024-07-29"/>
    <x v="3"/>
    <n v="1845"/>
    <n v="104"/>
    <n v="291024"/>
    <n v="28.158158777282971"/>
    <n v="37766"/>
    <n v="1741"/>
  </r>
  <r>
    <s v="2024-07-29"/>
    <x v="3"/>
    <n v="6777"/>
    <n v="981"/>
    <n v="296820"/>
    <n v="23.920557913887201"/>
    <n v="53590"/>
    <n v="5796"/>
  </r>
  <r>
    <s v="2024-07-29"/>
    <x v="2"/>
    <n v="4036"/>
    <n v="591"/>
    <n v="300265"/>
    <n v="44.219272975538267"/>
    <n v="12563"/>
    <n v="3445"/>
  </r>
  <r>
    <s v="2024-07-29"/>
    <x v="1"/>
    <n v="6947"/>
    <n v="908"/>
    <n v="306304"/>
    <n v="14.117673944839121"/>
    <n v="46060"/>
    <n v="6039"/>
  </r>
  <r>
    <s v="2024-08-05"/>
    <x v="0"/>
    <n v="3494"/>
    <n v="281"/>
    <n v="309517"/>
    <n v="27.765518533715429"/>
    <n v="39197"/>
    <n v="3213"/>
  </r>
  <r>
    <s v="2024-08-05"/>
    <x v="1"/>
    <n v="3719"/>
    <n v="222"/>
    <n v="313014"/>
    <n v="21.669318305251519"/>
    <n v="13586"/>
    <n v="3497"/>
  </r>
  <r>
    <s v="2024-08-05"/>
    <x v="2"/>
    <n v="2884"/>
    <n v="341"/>
    <n v="315557"/>
    <n v="46.999749649033298"/>
    <n v="26087"/>
    <n v="2543"/>
  </r>
  <r>
    <s v="2024-08-05"/>
    <x v="3"/>
    <n v="5349"/>
    <n v="502"/>
    <n v="320404"/>
    <n v="5.2152906954969351"/>
    <n v="58868"/>
    <n v="4847"/>
  </r>
  <r>
    <s v="2024-08-12"/>
    <x v="1"/>
    <n v="6179"/>
    <n v="384"/>
    <n v="326199"/>
    <n v="14.71218489327067"/>
    <n v="33225"/>
    <n v="5795"/>
  </r>
  <r>
    <s v="2024-08-12"/>
    <x v="0"/>
    <n v="7610"/>
    <n v="757"/>
    <n v="333052"/>
    <n v="44.450416151231643"/>
    <n v="39750"/>
    <n v="6853"/>
  </r>
  <r>
    <s v="2024-08-12"/>
    <x v="2"/>
    <n v="7430"/>
    <n v="397"/>
    <n v="340085"/>
    <n v="28.065042562888689"/>
    <n v="16643"/>
    <n v="7033"/>
  </r>
  <r>
    <s v="2024-08-12"/>
    <x v="1"/>
    <n v="8154"/>
    <n v="1149"/>
    <n v="347090"/>
    <n v="26.003918292085629"/>
    <n v="37523"/>
    <n v="7005"/>
  </r>
  <r>
    <s v="2024-08-19"/>
    <x v="0"/>
    <n v="7488"/>
    <n v="568"/>
    <n v="354010"/>
    <n v="13.47730290104799"/>
    <n v="46727"/>
    <n v="6920"/>
  </r>
  <r>
    <s v="2024-08-19"/>
    <x v="2"/>
    <n v="5737"/>
    <n v="666"/>
    <n v="359081"/>
    <n v="4.6034181702735593"/>
    <n v="21005"/>
    <n v="5071"/>
  </r>
  <r>
    <s v="2024-08-19"/>
    <x v="0"/>
    <n v="7525"/>
    <n v="610"/>
    <n v="365996"/>
    <n v="5.7694619613329108"/>
    <n v="53543"/>
    <n v="6915"/>
  </r>
  <r>
    <s v="2024-08-19"/>
    <x v="2"/>
    <n v="4850"/>
    <n v="494"/>
    <n v="370352"/>
    <n v="20.46539508359615"/>
    <n v="10161"/>
    <n v="4356"/>
  </r>
  <r>
    <s v="2024-08-26"/>
    <x v="3"/>
    <n v="1689"/>
    <n v="176"/>
    <n v="371865"/>
    <n v="38.012181840183942"/>
    <n v="26029"/>
    <n v="1513"/>
  </r>
  <r>
    <s v="2024-08-26"/>
    <x v="1"/>
    <n v="6175"/>
    <n v="422"/>
    <n v="377618"/>
    <n v="37.86101298137271"/>
    <n v="59745"/>
    <n v="5753"/>
  </r>
  <r>
    <s v="2024-08-26"/>
    <x v="0"/>
    <n v="9648"/>
    <n v="1417"/>
    <n v="385849"/>
    <n v="3.6633501706626168"/>
    <n v="24226"/>
    <n v="8231"/>
  </r>
  <r>
    <s v="2024-08-26"/>
    <x v="2"/>
    <n v="6078"/>
    <n v="775"/>
    <n v="391152"/>
    <n v="37.760512537325639"/>
    <n v="38731"/>
    <n v="5303"/>
  </r>
  <r>
    <s v="2024-09-02"/>
    <x v="0"/>
    <n v="6448"/>
    <n v="928"/>
    <n v="396672"/>
    <n v="30.118586640851881"/>
    <n v="53922"/>
    <n v="5520"/>
  </r>
  <r>
    <s v="2024-09-02"/>
    <x v="0"/>
    <n v="2179"/>
    <n v="303"/>
    <n v="398548"/>
    <n v="33.909842729106657"/>
    <n v="54848"/>
    <n v="1876"/>
  </r>
  <r>
    <s v="2024-09-02"/>
    <x v="1"/>
    <n v="7406"/>
    <n v="813"/>
    <n v="405141"/>
    <n v="24.457411123534769"/>
    <n v="13390"/>
    <n v="6593"/>
  </r>
  <r>
    <s v="2024-09-02"/>
    <x v="3"/>
    <n v="9591"/>
    <n v="1363"/>
    <n v="413369"/>
    <n v="10.494255737609739"/>
    <n v="15997"/>
    <n v="8228"/>
  </r>
  <r>
    <s v="2024-09-09"/>
    <x v="0"/>
    <n v="7907"/>
    <n v="465"/>
    <n v="420811"/>
    <n v="33.257448118038738"/>
    <n v="22693"/>
    <n v="7442"/>
  </r>
  <r>
    <s v="2024-09-09"/>
    <x v="2"/>
    <n v="9800"/>
    <n v="682"/>
    <n v="429929"/>
    <n v="6.2966210699906267"/>
    <n v="59815"/>
    <n v="9118"/>
  </r>
  <r>
    <s v="2024-09-09"/>
    <x v="2"/>
    <n v="2638"/>
    <n v="143"/>
    <n v="432424"/>
    <n v="6.9547481175882924"/>
    <n v="52092"/>
    <n v="2495"/>
  </r>
  <r>
    <s v="2024-09-09"/>
    <x v="3"/>
    <n v="6671"/>
    <n v="550"/>
    <n v="438545"/>
    <n v="17.750287883797562"/>
    <n v="10541"/>
    <n v="6121"/>
  </r>
  <r>
    <s v="2024-09-16"/>
    <x v="2"/>
    <n v="7928"/>
    <n v="704"/>
    <n v="445769"/>
    <n v="11.194362999670229"/>
    <n v="31817"/>
    <n v="7224"/>
  </r>
  <r>
    <s v="2024-09-16"/>
    <x v="3"/>
    <n v="2382"/>
    <n v="183"/>
    <n v="447968"/>
    <n v="4.7335970426459033"/>
    <n v="47861"/>
    <n v="2199"/>
  </r>
  <r>
    <s v="2024-09-16"/>
    <x v="2"/>
    <n v="2403"/>
    <n v="319"/>
    <n v="450052"/>
    <n v="29.92120910472568"/>
    <n v="23428"/>
    <n v="2084"/>
  </r>
  <r>
    <s v="2024-09-16"/>
    <x v="1"/>
    <n v="4292"/>
    <n v="367"/>
    <n v="453977"/>
    <n v="3.5037017293827661"/>
    <n v="53934"/>
    <n v="3925"/>
  </r>
  <r>
    <s v="2024-09-23"/>
    <x v="0"/>
    <n v="1419"/>
    <n v="110"/>
    <n v="455286"/>
    <n v="31.554451487636339"/>
    <n v="58831"/>
    <n v="1309"/>
  </r>
  <r>
    <s v="2024-09-23"/>
    <x v="1"/>
    <n v="5517"/>
    <n v="575"/>
    <n v="460228"/>
    <n v="29.45844233727631"/>
    <n v="20258"/>
    <n v="4942"/>
  </r>
  <r>
    <s v="2024-09-23"/>
    <x v="0"/>
    <n v="4302"/>
    <n v="275"/>
    <n v="464255"/>
    <n v="15.72131694865968"/>
    <n v="26044"/>
    <n v="4027"/>
  </r>
  <r>
    <s v="2024-09-23"/>
    <x v="0"/>
    <n v="8857"/>
    <n v="1153"/>
    <n v="471959"/>
    <n v="19.214592793018038"/>
    <n v="39411"/>
    <n v="7704"/>
  </r>
  <r>
    <s v="2024-09-30"/>
    <x v="0"/>
    <n v="8870"/>
    <n v="509"/>
    <n v="480320"/>
    <n v="25.077864756828781"/>
    <n v="15469"/>
    <n v="8361"/>
  </r>
  <r>
    <s v="2024-09-30"/>
    <x v="1"/>
    <n v="6693"/>
    <n v="995"/>
    <n v="486018"/>
    <n v="23.761877132122681"/>
    <n v="38854"/>
    <n v="5698"/>
  </r>
  <r>
    <s v="2024-09-30"/>
    <x v="0"/>
    <n v="1767"/>
    <n v="224"/>
    <n v="487561"/>
    <n v="13.208603641390511"/>
    <n v="16256"/>
    <n v="1543"/>
  </r>
  <r>
    <s v="2024-09-30"/>
    <x v="1"/>
    <n v="3044"/>
    <n v="212"/>
    <n v="490393"/>
    <n v="8.5343795690395261"/>
    <n v="20720"/>
    <n v="2832"/>
  </r>
  <r>
    <s v="2024-10-07"/>
    <x v="3"/>
    <n v="2549"/>
    <n v="128"/>
    <n v="492814"/>
    <n v="12.734216154573531"/>
    <n v="43937"/>
    <n v="2421"/>
  </r>
  <r>
    <s v="2024-10-07"/>
    <x v="2"/>
    <n v="7140"/>
    <n v="939"/>
    <n v="499015"/>
    <n v="25.120888149654821"/>
    <n v="43598"/>
    <n v="6201"/>
  </r>
  <r>
    <s v="2024-10-07"/>
    <x v="2"/>
    <n v="4716"/>
    <n v="569"/>
    <n v="503162"/>
    <n v="25.64820077827817"/>
    <n v="11651"/>
    <n v="4147"/>
  </r>
  <r>
    <s v="2024-10-07"/>
    <x v="0"/>
    <n v="5481"/>
    <n v="673"/>
    <n v="507970"/>
    <n v="13.08758391243577"/>
    <n v="29194"/>
    <n v="4808"/>
  </r>
  <r>
    <s v="2024-10-14"/>
    <x v="1"/>
    <n v="8898"/>
    <n v="1131"/>
    <n v="515737"/>
    <n v="2.1877429775253669"/>
    <n v="35051"/>
    <n v="7767"/>
  </r>
  <r>
    <s v="2024-10-14"/>
    <x v="2"/>
    <n v="7548"/>
    <n v="433"/>
    <n v="522852"/>
    <n v="8.3562843787534522"/>
    <n v="37386"/>
    <n v="7115"/>
  </r>
  <r>
    <s v="2024-10-14"/>
    <x v="1"/>
    <n v="3293"/>
    <n v="282"/>
    <n v="525863"/>
    <n v="27.040693108281051"/>
    <n v="19518"/>
    <n v="3011"/>
  </r>
  <r>
    <s v="2024-10-14"/>
    <x v="1"/>
    <n v="5837"/>
    <n v="359"/>
    <n v="531341"/>
    <n v="6.8073045370110723"/>
    <n v="56026"/>
    <n v="5478"/>
  </r>
  <r>
    <s v="2024-10-21"/>
    <x v="0"/>
    <n v="8758"/>
    <n v="1193"/>
    <n v="538906"/>
    <n v="3.4213758985797149"/>
    <n v="26184"/>
    <n v="7565"/>
  </r>
  <r>
    <s v="2024-10-21"/>
    <x v="2"/>
    <n v="7793"/>
    <n v="875"/>
    <n v="545824"/>
    <n v="5.5136820660139527"/>
    <n v="43787"/>
    <n v="6918"/>
  </r>
  <r>
    <s v="2024-10-21"/>
    <x v="0"/>
    <n v="8638"/>
    <n v="717"/>
    <n v="553745"/>
    <n v="26.921416897669499"/>
    <n v="31621"/>
    <n v="7921"/>
  </r>
  <r>
    <s v="2024-10-21"/>
    <x v="0"/>
    <n v="8993"/>
    <n v="506"/>
    <n v="562232"/>
    <n v="3.5131404829323132"/>
    <n v="20028"/>
    <n v="8487"/>
  </r>
  <r>
    <s v="2024-10-28"/>
    <x v="2"/>
    <n v="7007"/>
    <n v="568"/>
    <n v="568671"/>
    <n v="11.50507059442103"/>
    <n v="22448"/>
    <n v="6439"/>
  </r>
  <r>
    <s v="2024-10-28"/>
    <x v="2"/>
    <n v="6542"/>
    <n v="539"/>
    <n v="574674"/>
    <n v="6.4069368024305948"/>
    <n v="55253"/>
    <n v="6003"/>
  </r>
  <r>
    <s v="2024-10-28"/>
    <x v="3"/>
    <n v="7356"/>
    <n v="904"/>
    <n v="581126"/>
    <n v="17.560907617280929"/>
    <n v="44051"/>
    <n v="6452"/>
  </r>
  <r>
    <s v="2024-10-28"/>
    <x v="3"/>
    <n v="9433"/>
    <n v="1073"/>
    <n v="589486"/>
    <n v="7.2934726185185053"/>
    <n v="59811"/>
    <n v="8360"/>
  </r>
  <r>
    <s v="2024-11-04"/>
    <x v="1"/>
    <n v="8380"/>
    <n v="1162"/>
    <n v="596704"/>
    <n v="18.05853488496809"/>
    <n v="40447"/>
    <n v="7218"/>
  </r>
  <r>
    <s v="2024-11-04"/>
    <x v="2"/>
    <n v="3385"/>
    <n v="329"/>
    <n v="599760"/>
    <n v="17.61788048552755"/>
    <n v="28394"/>
    <n v="3056"/>
  </r>
  <r>
    <s v="2024-11-04"/>
    <x v="3"/>
    <n v="5268"/>
    <n v="326"/>
    <n v="604702"/>
    <n v="23.435841125050029"/>
    <n v="44501"/>
    <n v="4942"/>
  </r>
  <r>
    <s v="2024-11-04"/>
    <x v="1"/>
    <n v="1671"/>
    <n v="202"/>
    <n v="606171"/>
    <n v="15.150015424690389"/>
    <n v="40254"/>
    <n v="1469"/>
  </r>
  <r>
    <s v="2024-11-11"/>
    <x v="1"/>
    <n v="1163"/>
    <n v="146"/>
    <n v="607188"/>
    <n v="21.77776899411715"/>
    <n v="28509"/>
    <n v="1017"/>
  </r>
  <r>
    <s v="2024-11-11"/>
    <x v="1"/>
    <n v="9656"/>
    <n v="1024"/>
    <n v="615820"/>
    <n v="8.7252768666168681"/>
    <n v="58998"/>
    <n v="8632"/>
  </r>
  <r>
    <s v="2024-11-11"/>
    <x v="3"/>
    <n v="5592"/>
    <n v="710"/>
    <n v="620702"/>
    <n v="9.07118069540617"/>
    <n v="24472"/>
    <n v="4882"/>
  </r>
  <r>
    <s v="2024-11-11"/>
    <x v="2"/>
    <n v="5795"/>
    <n v="575"/>
    <n v="625922"/>
    <n v="3.0908004511744269"/>
    <n v="55657"/>
    <n v="5220"/>
  </r>
  <r>
    <s v="2024-11-18"/>
    <x v="0"/>
    <n v="5798"/>
    <n v="592"/>
    <n v="631128"/>
    <n v="1.6774727155188811"/>
    <n v="13471"/>
    <n v="5206"/>
  </r>
  <r>
    <s v="2024-11-18"/>
    <x v="1"/>
    <n v="7036"/>
    <n v="652"/>
    <n v="637512"/>
    <n v="3.5705994553828009"/>
    <n v="51796"/>
    <n v="6384"/>
  </r>
  <r>
    <s v="2024-11-18"/>
    <x v="3"/>
    <n v="3355"/>
    <n v="176"/>
    <n v="640691"/>
    <n v="12.426427091999111"/>
    <n v="40268"/>
    <n v="3179"/>
  </r>
  <r>
    <s v="2024-11-18"/>
    <x v="3"/>
    <n v="6887"/>
    <n v="418"/>
    <n v="647160"/>
    <n v="20.240280610668151"/>
    <n v="18329"/>
    <n v="6469"/>
  </r>
  <r>
    <s v="2024-11-25"/>
    <x v="0"/>
    <n v="8961"/>
    <n v="476"/>
    <n v="655645"/>
    <n v="15.458517947974901"/>
    <n v="44865"/>
    <n v="8485"/>
  </r>
  <r>
    <s v="2024-11-25"/>
    <x v="0"/>
    <n v="6827"/>
    <n v="775"/>
    <n v="661697"/>
    <n v="15.96622018839439"/>
    <n v="56850"/>
    <n v="6052"/>
  </r>
  <r>
    <s v="2024-11-25"/>
    <x v="3"/>
    <n v="9737"/>
    <n v="792"/>
    <n v="670642"/>
    <n v="5.301785453341723"/>
    <n v="56698"/>
    <n v="8945"/>
  </r>
  <r>
    <s v="2024-11-25"/>
    <x v="2"/>
    <n v="5719"/>
    <n v="576"/>
    <n v="675785"/>
    <n v="10.21656296011305"/>
    <n v="38272"/>
    <n v="5143"/>
  </r>
  <r>
    <s v="2024-12-02"/>
    <x v="0"/>
    <n v="1593"/>
    <n v="224"/>
    <n v="677154"/>
    <n v="4.1495730660972248"/>
    <n v="52845"/>
    <n v="1369"/>
  </r>
  <r>
    <s v="2024-12-02"/>
    <x v="3"/>
    <n v="5839"/>
    <n v="437"/>
    <n v="682556"/>
    <n v="17.44750613869045"/>
    <n v="16397"/>
    <n v="5402"/>
  </r>
  <r>
    <s v="2024-12-02"/>
    <x v="0"/>
    <n v="8394"/>
    <n v="764"/>
    <n v="690186"/>
    <n v="6.3556780346167558"/>
    <n v="42373"/>
    <n v="7630"/>
  </r>
  <r>
    <s v="2024-12-02"/>
    <x v="2"/>
    <n v="4493"/>
    <n v="564"/>
    <n v="694115"/>
    <n v="16.625487131094989"/>
    <n v="45525"/>
    <n v="3929"/>
  </r>
  <r>
    <s v="2024-12-09"/>
    <x v="1"/>
    <n v="7164"/>
    <n v="522"/>
    <n v="700757"/>
    <n v="13.449169969047761"/>
    <n v="34570"/>
    <n v="6642"/>
  </r>
  <r>
    <s v="2024-12-09"/>
    <x v="0"/>
    <n v="3672"/>
    <n v="211"/>
    <n v="704218"/>
    <n v="12.35057894004413"/>
    <n v="28284"/>
    <n v="3461"/>
  </r>
  <r>
    <s v="2024-12-09"/>
    <x v="2"/>
    <n v="5200"/>
    <n v="410"/>
    <n v="709008"/>
    <n v="12.913394489201821"/>
    <n v="28994"/>
    <n v="4790"/>
  </r>
  <r>
    <s v="2024-12-09"/>
    <x v="3"/>
    <n v="1016"/>
    <n v="67"/>
    <n v="709957"/>
    <n v="20.774215903216671"/>
    <n v="33284"/>
    <n v="949"/>
  </r>
  <r>
    <s v="2024-12-16"/>
    <x v="0"/>
    <n v="4191"/>
    <n v="599"/>
    <n v="713549"/>
    <n v="11.56416728213479"/>
    <n v="27833"/>
    <n v="3592"/>
  </r>
  <r>
    <s v="2024-12-16"/>
    <x v="0"/>
    <n v="1392"/>
    <n v="182"/>
    <n v="714759"/>
    <n v="5.9603306848881932"/>
    <n v="35122"/>
    <n v="1210"/>
  </r>
  <r>
    <s v="2024-12-16"/>
    <x v="3"/>
    <n v="9616"/>
    <n v="1089"/>
    <n v="723286"/>
    <n v="19.25863351426683"/>
    <n v="15017"/>
    <n v="8527"/>
  </r>
  <r>
    <s v="2024-12-16"/>
    <x v="1"/>
    <n v="7272"/>
    <n v="997"/>
    <n v="729561"/>
    <n v="13.428486445958599"/>
    <n v="26370"/>
    <n v="6275"/>
  </r>
  <r>
    <s v="2024-12-23"/>
    <x v="3"/>
    <n v="1571"/>
    <n v="204"/>
    <n v="730928"/>
    <n v="19.449384891535139"/>
    <n v="39252"/>
    <n v="1367"/>
  </r>
  <r>
    <s v="2024-12-23"/>
    <x v="0"/>
    <n v="4631"/>
    <n v="317"/>
    <n v="735242"/>
    <n v="1.381177897889402"/>
    <n v="17999"/>
    <n v="4314"/>
  </r>
  <r>
    <s v="2024-12-23"/>
    <x v="3"/>
    <n v="7172"/>
    <n v="998"/>
    <n v="741416"/>
    <n v="18.0667803230575"/>
    <n v="32436"/>
    <n v="6174"/>
  </r>
  <r>
    <s v="2024-12-23"/>
    <x v="2"/>
    <n v="8177"/>
    <n v="849"/>
    <n v="748744"/>
    <n v="10.34986590877523"/>
    <n v="52963"/>
    <n v="7328"/>
  </r>
  <r>
    <s v="2024-12-30"/>
    <x v="3"/>
    <n v="9433"/>
    <n v="1233"/>
    <n v="756944"/>
    <n v="11.391727789638329"/>
    <n v="12096"/>
    <n v="8200"/>
  </r>
  <r>
    <s v="2024-12-30"/>
    <x v="0"/>
    <n v="4897"/>
    <n v="683"/>
    <n v="761158"/>
    <n v="15.06231294947961"/>
    <n v="58201"/>
    <n v="4214"/>
  </r>
  <r>
    <s v="2024-12-30"/>
    <x v="3"/>
    <n v="9123"/>
    <n v="746"/>
    <n v="769535"/>
    <n v="6.3086149427901264"/>
    <n v="35279"/>
    <n v="8377"/>
  </r>
  <r>
    <s v="2024-12-30"/>
    <x v="1"/>
    <n v="3279"/>
    <n v="200"/>
    <n v="772614"/>
    <n v="5.0212654702089274"/>
    <n v="53363"/>
    <n v="3079"/>
  </r>
  <r>
    <s v="2025-01-06"/>
    <x v="3"/>
    <n v="9980"/>
    <n v="726"/>
    <n v="781868"/>
    <n v="4.0220344099003924"/>
    <n v="58709"/>
    <n v="9254"/>
  </r>
  <r>
    <s v="2025-01-06"/>
    <x v="1"/>
    <n v="8451"/>
    <n v="783"/>
    <n v="789536"/>
    <n v="12.407287318121019"/>
    <n v="36201"/>
    <n v="7668"/>
  </r>
  <r>
    <s v="2025-01-06"/>
    <x v="2"/>
    <n v="9906"/>
    <n v="1305"/>
    <n v="798137"/>
    <n v="9.1811305577864442"/>
    <n v="29715"/>
    <n v="8601"/>
  </r>
  <r>
    <s v="2025-01-06"/>
    <x v="1"/>
    <n v="1775"/>
    <n v="241"/>
    <n v="799671"/>
    <n v="8.1379717408784362"/>
    <n v="39309"/>
    <n v="1534"/>
  </r>
  <r>
    <s v="2025-01-13"/>
    <x v="3"/>
    <n v="7869"/>
    <n v="398"/>
    <n v="807142"/>
    <n v="15.211945357818079"/>
    <n v="25078"/>
    <n v="7471"/>
  </r>
  <r>
    <s v="2025-01-13"/>
    <x v="0"/>
    <n v="3247"/>
    <n v="328"/>
    <n v="810061"/>
    <n v="13.941172331466399"/>
    <n v="15105"/>
    <n v="2919"/>
  </r>
  <r>
    <s v="2025-01-13"/>
    <x v="1"/>
    <n v="8088"/>
    <n v="742"/>
    <n v="817407"/>
    <n v="14.664542877660701"/>
    <n v="39312"/>
    <n v="7346"/>
  </r>
  <r>
    <s v="2025-01-13"/>
    <x v="2"/>
    <n v="1078"/>
    <n v="77"/>
    <n v="818408"/>
    <n v="18.236747441373989"/>
    <n v="12839"/>
    <n v="1001"/>
  </r>
  <r>
    <s v="2025-01-20"/>
    <x v="1"/>
    <n v="9080"/>
    <n v="562"/>
    <n v="826926"/>
    <n v="7.1083748727213809"/>
    <n v="13384"/>
    <n v="8518"/>
  </r>
  <r>
    <s v="2025-01-20"/>
    <x v="1"/>
    <n v="8099"/>
    <n v="678"/>
    <n v="834347"/>
    <n v="7.6464588474579518"/>
    <n v="53619"/>
    <n v="7421"/>
  </r>
  <r>
    <s v="2025-01-20"/>
    <x v="1"/>
    <n v="4926"/>
    <n v="710"/>
    <n v="838563"/>
    <n v="12.96217457722318"/>
    <n v="52821"/>
    <n v="4216"/>
  </r>
  <r>
    <s v="2025-01-20"/>
    <x v="2"/>
    <n v="8340"/>
    <n v="686"/>
    <n v="846217"/>
    <n v="7.201344336027284"/>
    <n v="23493"/>
    <n v="7654"/>
  </r>
  <r>
    <s v="2025-01-27"/>
    <x v="3"/>
    <n v="8083"/>
    <n v="823"/>
    <n v="853477"/>
    <n v="4.6300017457998282"/>
    <n v="27069"/>
    <n v="7260"/>
  </r>
  <r>
    <s v="2025-01-27"/>
    <x v="1"/>
    <n v="7230"/>
    <n v="869"/>
    <n v="859838"/>
    <n v="7.0117859410726204"/>
    <n v="56907"/>
    <n v="6361"/>
  </r>
  <r>
    <s v="2025-01-27"/>
    <x v="1"/>
    <n v="5940"/>
    <n v="512"/>
    <n v="865266"/>
    <n v="15.7972230504839"/>
    <n v="17531"/>
    <n v="5428"/>
  </r>
  <r>
    <s v="2025-01-27"/>
    <x v="0"/>
    <n v="4271"/>
    <n v="628"/>
    <n v="868909"/>
    <n v="11.124410036033691"/>
    <n v="47051"/>
    <n v="3643"/>
  </r>
  <r>
    <s v="2025-02-03"/>
    <x v="2"/>
    <n v="4456"/>
    <n v="651"/>
    <n v="872714"/>
    <n v="9.5052903929580594"/>
    <n v="17736"/>
    <n v="3805"/>
  </r>
  <r>
    <s v="2025-02-03"/>
    <x v="1"/>
    <n v="8788"/>
    <n v="660"/>
    <n v="880842"/>
    <n v="3.7175793161543158"/>
    <n v="17710"/>
    <n v="8128"/>
  </r>
  <r>
    <s v="2025-02-03"/>
    <x v="2"/>
    <n v="9599"/>
    <n v="957"/>
    <n v="889484"/>
    <n v="8.768004820772493"/>
    <n v="11619"/>
    <n v="8642"/>
  </r>
  <r>
    <s v="2025-02-03"/>
    <x v="1"/>
    <n v="8650"/>
    <n v="692"/>
    <n v="897442"/>
    <n v="7.6673478620345374"/>
    <n v="23975"/>
    <n v="7958"/>
  </r>
  <r>
    <s v="2025-02-10"/>
    <x v="3"/>
    <n v="3711"/>
    <n v="291"/>
    <n v="900862"/>
    <n v="14.24879726306582"/>
    <n v="55603"/>
    <n v="3420"/>
  </r>
  <r>
    <s v="2025-02-10"/>
    <x v="3"/>
    <n v="2668"/>
    <n v="143"/>
    <n v="903387"/>
    <n v="15.903372530266649"/>
    <n v="33252"/>
    <n v="2525"/>
  </r>
  <r>
    <s v="2025-02-10"/>
    <x v="1"/>
    <n v="1147"/>
    <n v="127"/>
    <n v="904407"/>
    <n v="1.3997016829812241"/>
    <n v="25261"/>
    <n v="1020"/>
  </r>
  <r>
    <s v="2025-02-10"/>
    <x v="3"/>
    <n v="7420"/>
    <n v="743"/>
    <n v="911084"/>
    <n v="10.593534734448189"/>
    <n v="11431"/>
    <n v="6677"/>
  </r>
  <r>
    <s v="2025-02-17"/>
    <x v="1"/>
    <n v="1365"/>
    <n v="75"/>
    <n v="912374"/>
    <n v="9.2688963078737441"/>
    <n v="19067"/>
    <n v="1290"/>
  </r>
  <r>
    <s v="2025-02-17"/>
    <x v="3"/>
    <n v="5531"/>
    <n v="430"/>
    <n v="917475"/>
    <n v="2.7289026948963189"/>
    <n v="47481"/>
    <n v="5101"/>
  </r>
  <r>
    <s v="2025-02-17"/>
    <x v="0"/>
    <n v="6330"/>
    <n v="891"/>
    <n v="922914"/>
    <n v="14.789893749580139"/>
    <n v="37037"/>
    <n v="5439"/>
  </r>
  <r>
    <s v="2025-02-17"/>
    <x v="0"/>
    <n v="6510"/>
    <n v="481"/>
    <n v="928943"/>
    <n v="2.3800168578696428"/>
    <n v="19557"/>
    <n v="6029"/>
  </r>
  <r>
    <s v="2025-02-24"/>
    <x v="0"/>
    <n v="9754"/>
    <n v="629"/>
    <n v="938068"/>
    <n v="3.4123325814333292"/>
    <n v="19435"/>
    <n v="9125"/>
  </r>
  <r>
    <s v="2025-02-24"/>
    <x v="2"/>
    <n v="9964"/>
    <n v="985"/>
    <n v="947047"/>
    <n v="1.9837452629066989"/>
    <n v="47766"/>
    <n v="8979"/>
  </r>
  <r>
    <s v="2025-02-24"/>
    <x v="2"/>
    <n v="7493"/>
    <n v="1113"/>
    <n v="953427"/>
    <n v="15.684892498324469"/>
    <n v="10162"/>
    <n v="6380"/>
  </r>
  <r>
    <s v="2025-02-24"/>
    <x v="0"/>
    <n v="6439"/>
    <n v="477"/>
    <n v="959389"/>
    <n v="7.4744446725989153"/>
    <n v="44742"/>
    <n v="5962"/>
  </r>
  <r>
    <s v="2025-03-03"/>
    <x v="2"/>
    <n v="7511"/>
    <n v="880"/>
    <n v="966020"/>
    <n v="4.6083932009689246"/>
    <n v="29675"/>
    <n v="6631"/>
  </r>
  <r>
    <s v="2025-03-03"/>
    <x v="3"/>
    <n v="8504"/>
    <n v="1072"/>
    <n v="973452"/>
    <n v="6.5651927367759271"/>
    <n v="18461"/>
    <n v="7432"/>
  </r>
  <r>
    <s v="2025-03-03"/>
    <x v="1"/>
    <n v="2246"/>
    <n v="165"/>
    <n v="975533"/>
    <n v="2.9062061457685191"/>
    <n v="27015"/>
    <n v="2081"/>
  </r>
  <r>
    <s v="2025-03-03"/>
    <x v="1"/>
    <n v="4839"/>
    <n v="594"/>
    <n v="979778"/>
    <n v="2.5803804535313102"/>
    <n v="42591"/>
    <n v="4245"/>
  </r>
  <r>
    <s v="2025-03-10"/>
    <x v="1"/>
    <n v="9551"/>
    <n v="828"/>
    <n v="988501"/>
    <n v="1.525036393488727"/>
    <n v="38047"/>
    <n v="8723"/>
  </r>
  <r>
    <s v="2025-03-10"/>
    <x v="0"/>
    <n v="3376"/>
    <n v="382"/>
    <n v="991495"/>
    <n v="3.8694093263203548"/>
    <n v="44782"/>
    <n v="2994"/>
  </r>
  <r>
    <s v="2025-03-10"/>
    <x v="2"/>
    <n v="4009"/>
    <n v="454"/>
    <n v="995050"/>
    <n v="2.1106477061454201"/>
    <n v="19833"/>
    <n v="3555"/>
  </r>
  <r>
    <s v="2025-03-10"/>
    <x v="3"/>
    <n v="2827"/>
    <n v="292"/>
    <n v="997585"/>
    <n v="2.4004972007397871"/>
    <n v="17896"/>
    <n v="2535"/>
  </r>
  <r>
    <s v="2025-03-17"/>
    <x v="3"/>
    <n v="7979"/>
    <n v="470"/>
    <n v="1005094"/>
    <n v="10.43086517280971"/>
    <n v="42972"/>
    <n v="7509"/>
  </r>
  <r>
    <s v="2025-03-17"/>
    <x v="0"/>
    <n v="9569"/>
    <n v="1277"/>
    <n v="1013386"/>
    <n v="12.45517502708741"/>
    <n v="59733"/>
    <n v="8292"/>
  </r>
  <r>
    <s v="2025-03-17"/>
    <x v="3"/>
    <n v="5285"/>
    <n v="433"/>
    <n v="1018238"/>
    <n v="8.7022876773406619"/>
    <n v="51800"/>
    <n v="4852"/>
  </r>
  <r>
    <s v="2025-03-17"/>
    <x v="3"/>
    <n v="7910"/>
    <n v="543"/>
    <n v="1025605"/>
    <n v="6.0590578244060822"/>
    <n v="40508"/>
    <n v="7367"/>
  </r>
  <r>
    <s v="2025-03-24"/>
    <x v="3"/>
    <n v="9561"/>
    <n v="517"/>
    <n v="1034649"/>
    <n v="6.4086467971263694"/>
    <n v="15347"/>
    <n v="9044"/>
  </r>
  <r>
    <s v="2025-03-24"/>
    <x v="3"/>
    <n v="3196"/>
    <n v="348"/>
    <n v="1037497"/>
    <n v="14.03040201562029"/>
    <n v="40314"/>
    <n v="2848"/>
  </r>
  <r>
    <s v="2025-03-24"/>
    <x v="2"/>
    <n v="4747"/>
    <n v="558"/>
    <n v="1041686"/>
    <n v="5.7680529449373434"/>
    <n v="12643"/>
    <n v="4189"/>
  </r>
  <r>
    <s v="2025-03-24"/>
    <x v="3"/>
    <n v="9843"/>
    <n v="508"/>
    <n v="1051021"/>
    <n v="4.2080986012648651"/>
    <n v="50785"/>
    <n v="9335"/>
  </r>
  <r>
    <s v="2025-03-31"/>
    <x v="1"/>
    <n v="6978"/>
    <n v="706"/>
    <n v="1057293"/>
    <n v="5.057443868445171"/>
    <n v="28681"/>
    <n v="6272"/>
  </r>
  <r>
    <s v="2025-03-31"/>
    <x v="0"/>
    <n v="6607"/>
    <n v="479"/>
    <n v="1063421"/>
    <n v="5.5892257158735816"/>
    <n v="48328"/>
    <n v="6128"/>
  </r>
  <r>
    <s v="2025-03-31"/>
    <x v="2"/>
    <n v="1769"/>
    <n v="202"/>
    <n v="1064988"/>
    <n v="6.5457075572682513"/>
    <n v="25892"/>
    <n v="1567"/>
  </r>
  <r>
    <s v="2025-03-31"/>
    <x v="3"/>
    <n v="1780"/>
    <n v="120"/>
    <n v="1066648"/>
    <n v="13.86474263299608"/>
    <n v="57299"/>
    <n v="1660"/>
  </r>
  <r>
    <s v="2025-04-07"/>
    <x v="2"/>
    <n v="7303"/>
    <n v="869"/>
    <n v="1073082"/>
    <n v="8.1237966902808925"/>
    <n v="27073"/>
    <n v="6434"/>
  </r>
  <r>
    <s v="2025-04-07"/>
    <x v="3"/>
    <n v="4983"/>
    <n v="441"/>
    <n v="1077624"/>
    <n v="6.8954477628560609"/>
    <n v="46768"/>
    <n v="4542"/>
  </r>
  <r>
    <s v="2025-04-07"/>
    <x v="1"/>
    <n v="9714"/>
    <n v="1395"/>
    <n v="1085943"/>
    <n v="5.2243073531483697"/>
    <n v="40682"/>
    <n v="8319"/>
  </r>
  <r>
    <s v="2025-04-07"/>
    <x v="0"/>
    <n v="1521"/>
    <n v="96"/>
    <n v="1087368"/>
    <n v="12.709772588488899"/>
    <n v="42262"/>
    <n v="1425"/>
  </r>
  <r>
    <s v="2025-04-14"/>
    <x v="3"/>
    <n v="8569"/>
    <n v="720"/>
    <n v="1095217"/>
    <n v="9.589697749395782"/>
    <n v="41358"/>
    <n v="7849"/>
  </r>
  <r>
    <s v="2025-04-14"/>
    <x v="3"/>
    <n v="6784"/>
    <n v="416"/>
    <n v="1101585"/>
    <n v="9.3041390360253633"/>
    <n v="24289"/>
    <n v="6368"/>
  </r>
  <r>
    <s v="2025-04-14"/>
    <x v="3"/>
    <n v="5583"/>
    <n v="795"/>
    <n v="1106373"/>
    <n v="12.21550055903389"/>
    <n v="59823"/>
    <n v="4788"/>
  </r>
  <r>
    <s v="2025-04-14"/>
    <x v="3"/>
    <n v="6946"/>
    <n v="956"/>
    <n v="1112363"/>
    <n v="1.64146056637986"/>
    <n v="17927"/>
    <n v="5990"/>
  </r>
  <r>
    <s v="2025-04-21"/>
    <x v="0"/>
    <n v="5941"/>
    <n v="450"/>
    <n v="1117854"/>
    <n v="12.414411899944"/>
    <n v="58330"/>
    <n v="5491"/>
  </r>
  <r>
    <s v="2025-04-21"/>
    <x v="0"/>
    <n v="7267"/>
    <n v="842"/>
    <n v="1124279"/>
    <n v="2.2102165031989389"/>
    <n v="11171"/>
    <n v="6425"/>
  </r>
  <r>
    <s v="2025-04-21"/>
    <x v="1"/>
    <n v="8128"/>
    <n v="1070"/>
    <n v="1131337"/>
    <n v="8.1114645768679008"/>
    <n v="21918"/>
    <n v="7058"/>
  </r>
  <r>
    <s v="2025-04-21"/>
    <x v="0"/>
    <n v="3461"/>
    <n v="365"/>
    <n v="1134433"/>
    <n v="10.23489267325616"/>
    <n v="51903"/>
    <n v="3096"/>
  </r>
  <r>
    <s v="2025-04-28"/>
    <x v="3"/>
    <n v="1685"/>
    <n v="173"/>
    <n v="1135945"/>
    <n v="8.7776256772995165"/>
    <n v="49110"/>
    <n v="1512"/>
  </r>
  <r>
    <s v="2025-04-28"/>
    <x v="1"/>
    <n v="3160"/>
    <n v="234"/>
    <n v="1138871"/>
    <n v="5.6959041015180816"/>
    <n v="21929"/>
    <n v="2926"/>
  </r>
  <r>
    <s v="2025-04-28"/>
    <x v="1"/>
    <n v="8031"/>
    <n v="476"/>
    <n v="1146426"/>
    <n v="11.940413075069831"/>
    <n v="12539"/>
    <n v="7555"/>
  </r>
  <r>
    <s v="2025-04-28"/>
    <x v="1"/>
    <n v="6341"/>
    <n v="885"/>
    <n v="1151882"/>
    <n v="6.3457020771224837"/>
    <n v="46727"/>
    <n v="5456"/>
  </r>
  <r>
    <s v="2025-05-05"/>
    <x v="3"/>
    <n v="1038"/>
    <n v="145"/>
    <n v="1152775"/>
    <n v="11.093752033137431"/>
    <n v="55951"/>
    <n v="893"/>
  </r>
  <r>
    <s v="2025-05-05"/>
    <x v="2"/>
    <n v="5875"/>
    <n v="665"/>
    <n v="1157985"/>
    <n v="6.9871371390821126"/>
    <n v="32669"/>
    <n v="5210"/>
  </r>
  <r>
    <s v="2025-05-05"/>
    <x v="3"/>
    <n v="2256"/>
    <n v="189"/>
    <n v="1160052"/>
    <n v="2.8935771844710412"/>
    <n v="15432"/>
    <n v="2067"/>
  </r>
  <r>
    <s v="2025-05-05"/>
    <x v="0"/>
    <n v="8697"/>
    <n v="738"/>
    <n v="1168011"/>
    <n v="3.8777032065622672"/>
    <n v="30644"/>
    <n v="7959"/>
  </r>
  <r>
    <s v="2025-05-12"/>
    <x v="0"/>
    <n v="3196"/>
    <n v="391"/>
    <n v="1170816"/>
    <n v="7.2439221876024931"/>
    <n v="28745"/>
    <n v="2805"/>
  </r>
  <r>
    <s v="2025-05-12"/>
    <x v="3"/>
    <n v="8165"/>
    <n v="1140"/>
    <n v="1177841"/>
    <n v="9.095964565675672"/>
    <n v="38228"/>
    <n v="7025"/>
  </r>
  <r>
    <s v="2025-05-12"/>
    <x v="3"/>
    <n v="1301"/>
    <n v="180"/>
    <n v="1178962"/>
    <n v="5.2275645864752214"/>
    <n v="44521"/>
    <n v="1121"/>
  </r>
  <r>
    <s v="2025-05-12"/>
    <x v="1"/>
    <n v="8527"/>
    <n v="1091"/>
    <n v="1186398"/>
    <n v="1.676081719625286"/>
    <n v="41703"/>
    <n v="7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F9833-444C-4366-AA74-9ECBBF680D16}" name="PivotTable3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8" firstHeaderRow="0" firstDataRow="1" firstDataCol="1"/>
  <pivotFields count="8"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ollowers_Growth" fld="7" baseField="0" baseItem="0"/>
    <dataField name="Average of Engagement_Rate" fld="5" subtotal="average" baseField="0" baseItem="0" numFmtId="1"/>
  </dataFields>
  <formats count="1">
    <format dxfId="0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2" sqref="F2:F201"/>
    </sheetView>
  </sheetViews>
  <sheetFormatPr defaultColWidth="14.42578125" defaultRowHeight="15" customHeight="1"/>
  <cols>
    <col min="1" max="1" width="29.42578125" customWidth="1"/>
    <col min="2" max="2" width="11.5703125" customWidth="1"/>
    <col min="3" max="3" width="15.85546875" customWidth="1"/>
    <col min="4" max="4" width="13.42578125" customWidth="1"/>
    <col min="5" max="5" width="21.140625" customWidth="1"/>
    <col min="6" max="6" width="17.7109375" customWidth="1"/>
    <col min="7" max="7" width="13.140625" customWidth="1"/>
    <col min="8" max="8" width="17.42578125" customWidth="1"/>
    <col min="9" max="26" width="8.710937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ht="14.25" customHeight="1">
      <c r="A2" s="3" t="s">
        <v>8</v>
      </c>
      <c r="B2" s="2" t="s">
        <v>9</v>
      </c>
      <c r="C2" s="2">
        <v>4138</v>
      </c>
      <c r="D2" s="2">
        <v>361</v>
      </c>
      <c r="E2" s="2">
        <v>103777</v>
      </c>
      <c r="F2" s="16">
        <v>56.637790647253247</v>
      </c>
      <c r="G2" s="2">
        <v>23944</v>
      </c>
      <c r="H2">
        <f>C2-D2</f>
        <v>3777</v>
      </c>
    </row>
    <row r="3" spans="1:8" ht="14.25" customHeight="1">
      <c r="A3" s="3" t="s">
        <v>8</v>
      </c>
      <c r="B3" s="2" t="s">
        <v>10</v>
      </c>
      <c r="C3" s="2">
        <v>8693</v>
      </c>
      <c r="D3" s="2">
        <v>1261</v>
      </c>
      <c r="E3" s="2">
        <v>111209</v>
      </c>
      <c r="F3" s="16">
        <v>69.475492091467416</v>
      </c>
      <c r="G3" s="2">
        <v>29873</v>
      </c>
      <c r="H3">
        <f t="shared" ref="H3:H66" si="0">C3-D3</f>
        <v>7432</v>
      </c>
    </row>
    <row r="4" spans="1:8" ht="14.25" customHeight="1">
      <c r="A4" s="3" t="s">
        <v>8</v>
      </c>
      <c r="B4" s="2" t="s">
        <v>11</v>
      </c>
      <c r="C4" s="2">
        <v>9264</v>
      </c>
      <c r="D4" s="2">
        <v>1141</v>
      </c>
      <c r="E4" s="2">
        <v>119332</v>
      </c>
      <c r="F4" s="16">
        <v>92.312204605638044</v>
      </c>
      <c r="G4" s="2">
        <v>50372</v>
      </c>
      <c r="H4">
        <f t="shared" si="0"/>
        <v>8123</v>
      </c>
    </row>
    <row r="5" spans="1:8" ht="14.25" customHeight="1">
      <c r="A5" s="3" t="s">
        <v>8</v>
      </c>
      <c r="B5" s="2" t="s">
        <v>11</v>
      </c>
      <c r="C5" s="2">
        <v>8842</v>
      </c>
      <c r="D5" s="2">
        <v>971</v>
      </c>
      <c r="E5" s="2">
        <v>127203</v>
      </c>
      <c r="F5" s="16">
        <v>16.351815601833291</v>
      </c>
      <c r="G5" s="2">
        <v>33928</v>
      </c>
      <c r="H5">
        <f t="shared" si="0"/>
        <v>7871</v>
      </c>
    </row>
    <row r="6" spans="1:8" ht="14.25" customHeight="1">
      <c r="A6" s="3" t="s">
        <v>12</v>
      </c>
      <c r="B6" s="2" t="s">
        <v>9</v>
      </c>
      <c r="C6" s="2">
        <v>7721</v>
      </c>
      <c r="D6" s="2">
        <v>506</v>
      </c>
      <c r="E6" s="2">
        <v>134418</v>
      </c>
      <c r="F6" s="16">
        <v>35.577824398518047</v>
      </c>
      <c r="G6" s="2">
        <v>25379</v>
      </c>
      <c r="H6">
        <f t="shared" si="0"/>
        <v>7215</v>
      </c>
    </row>
    <row r="7" spans="1:8" ht="14.25" customHeight="1">
      <c r="A7" s="3" t="s">
        <v>12</v>
      </c>
      <c r="B7" s="2" t="s">
        <v>11</v>
      </c>
      <c r="C7" s="2">
        <v>8002</v>
      </c>
      <c r="D7" s="2">
        <v>524</v>
      </c>
      <c r="E7" s="2">
        <v>141896</v>
      </c>
      <c r="F7" s="16">
        <v>52.064892597395271</v>
      </c>
      <c r="G7" s="2">
        <v>46751</v>
      </c>
      <c r="H7">
        <f t="shared" si="0"/>
        <v>7478</v>
      </c>
    </row>
    <row r="8" spans="1:8" ht="14.25" customHeight="1">
      <c r="A8" s="3" t="s">
        <v>12</v>
      </c>
      <c r="B8" s="2" t="s">
        <v>10</v>
      </c>
      <c r="C8" s="2">
        <v>5225</v>
      </c>
      <c r="D8" s="2">
        <v>291</v>
      </c>
      <c r="E8" s="2">
        <v>146830</v>
      </c>
      <c r="F8" s="16">
        <v>19.551862698358651</v>
      </c>
      <c r="G8" s="2">
        <v>44546</v>
      </c>
      <c r="H8">
        <f t="shared" si="0"/>
        <v>4934</v>
      </c>
    </row>
    <row r="9" spans="1:8" ht="14.25" customHeight="1">
      <c r="A9" s="3" t="s">
        <v>12</v>
      </c>
      <c r="B9" s="2" t="s">
        <v>10</v>
      </c>
      <c r="C9" s="2">
        <v>3978</v>
      </c>
      <c r="D9" s="2">
        <v>543</v>
      </c>
      <c r="E9" s="2">
        <v>150265</v>
      </c>
      <c r="F9" s="16">
        <v>49.159817655475329</v>
      </c>
      <c r="G9" s="2">
        <v>34286</v>
      </c>
      <c r="H9">
        <f t="shared" si="0"/>
        <v>3435</v>
      </c>
    </row>
    <row r="10" spans="1:8" ht="14.25" customHeight="1">
      <c r="A10" s="3" t="s">
        <v>13</v>
      </c>
      <c r="B10" s="2" t="s">
        <v>9</v>
      </c>
      <c r="C10" s="2">
        <v>8373</v>
      </c>
      <c r="D10" s="2">
        <v>921</v>
      </c>
      <c r="E10" s="2">
        <v>157717</v>
      </c>
      <c r="F10" s="16">
        <v>12.2263294381709</v>
      </c>
      <c r="G10" s="2">
        <v>15110</v>
      </c>
      <c r="H10">
        <f t="shared" si="0"/>
        <v>7452</v>
      </c>
    </row>
    <row r="11" spans="1:8" ht="14.25" customHeight="1">
      <c r="A11" s="3" t="s">
        <v>13</v>
      </c>
      <c r="B11" s="2" t="s">
        <v>10</v>
      </c>
      <c r="C11" s="2">
        <v>6907</v>
      </c>
      <c r="D11" s="2">
        <v>834</v>
      </c>
      <c r="E11" s="2">
        <v>163790</v>
      </c>
      <c r="F11" s="16">
        <v>54.158984064961238</v>
      </c>
      <c r="G11" s="2">
        <v>22087</v>
      </c>
      <c r="H11">
        <f t="shared" si="0"/>
        <v>6073</v>
      </c>
    </row>
    <row r="12" spans="1:8" ht="14.25" customHeight="1">
      <c r="A12" s="3" t="s">
        <v>13</v>
      </c>
      <c r="B12" s="2" t="s">
        <v>14</v>
      </c>
      <c r="C12" s="2">
        <v>7097</v>
      </c>
      <c r="D12" s="2">
        <v>369</v>
      </c>
      <c r="E12" s="2">
        <v>170518</v>
      </c>
      <c r="F12" s="16">
        <v>9.2506362964613711</v>
      </c>
      <c r="G12" s="2">
        <v>33762</v>
      </c>
      <c r="H12">
        <f t="shared" si="0"/>
        <v>6728</v>
      </c>
    </row>
    <row r="13" spans="1:8" ht="14.25" customHeight="1">
      <c r="A13" s="3" t="s">
        <v>13</v>
      </c>
      <c r="B13" s="2" t="s">
        <v>9</v>
      </c>
      <c r="C13" s="2">
        <v>6656</v>
      </c>
      <c r="D13" s="2">
        <v>978</v>
      </c>
      <c r="E13" s="2">
        <v>176196</v>
      </c>
      <c r="F13" s="16">
        <v>60.425889350496043</v>
      </c>
      <c r="G13" s="2">
        <v>27081</v>
      </c>
      <c r="H13">
        <f t="shared" si="0"/>
        <v>5678</v>
      </c>
    </row>
    <row r="14" spans="1:8" ht="14.25" customHeight="1">
      <c r="A14" s="3" t="s">
        <v>15</v>
      </c>
      <c r="B14" s="2" t="s">
        <v>10</v>
      </c>
      <c r="C14" s="2">
        <v>9984</v>
      </c>
      <c r="D14" s="2">
        <v>1330</v>
      </c>
      <c r="E14" s="2">
        <v>184850</v>
      </c>
      <c r="F14" s="16">
        <v>57.524479307546663</v>
      </c>
      <c r="G14" s="2">
        <v>44947</v>
      </c>
      <c r="H14">
        <f t="shared" si="0"/>
        <v>8654</v>
      </c>
    </row>
    <row r="15" spans="1:8" ht="14.25" customHeight="1">
      <c r="A15" s="3" t="s">
        <v>15</v>
      </c>
      <c r="B15" s="2" t="s">
        <v>9</v>
      </c>
      <c r="C15" s="2">
        <v>5259</v>
      </c>
      <c r="D15" s="2">
        <v>374</v>
      </c>
      <c r="E15" s="2">
        <v>189735</v>
      </c>
      <c r="F15" s="16">
        <v>14.827522597306769</v>
      </c>
      <c r="G15" s="2">
        <v>19596</v>
      </c>
      <c r="H15">
        <f t="shared" si="0"/>
        <v>4885</v>
      </c>
    </row>
    <row r="16" spans="1:8" ht="14.25" customHeight="1">
      <c r="A16" s="3" t="s">
        <v>15</v>
      </c>
      <c r="B16" s="2" t="s">
        <v>11</v>
      </c>
      <c r="C16" s="2">
        <v>9286</v>
      </c>
      <c r="D16" s="2">
        <v>633</v>
      </c>
      <c r="E16" s="2">
        <v>198388</v>
      </c>
      <c r="F16" s="16">
        <v>5.4343004617214756</v>
      </c>
      <c r="G16" s="2">
        <v>48019</v>
      </c>
      <c r="H16">
        <f t="shared" si="0"/>
        <v>8653</v>
      </c>
    </row>
    <row r="17" spans="1:8" ht="14.25" customHeight="1">
      <c r="A17" s="3" t="s">
        <v>15</v>
      </c>
      <c r="B17" s="2" t="s">
        <v>10</v>
      </c>
      <c r="C17" s="2">
        <v>6901</v>
      </c>
      <c r="D17" s="2">
        <v>471</v>
      </c>
      <c r="E17" s="2">
        <v>204818</v>
      </c>
      <c r="F17" s="16">
        <v>60.827661631301943</v>
      </c>
      <c r="G17" s="2">
        <v>52003</v>
      </c>
      <c r="H17">
        <f t="shared" si="0"/>
        <v>6430</v>
      </c>
    </row>
    <row r="18" spans="1:8" ht="14.25" customHeight="1">
      <c r="A18" s="3" t="s">
        <v>16</v>
      </c>
      <c r="B18" s="2" t="s">
        <v>14</v>
      </c>
      <c r="C18" s="2">
        <v>5917</v>
      </c>
      <c r="D18" s="2">
        <v>475</v>
      </c>
      <c r="E18" s="2">
        <v>210260</v>
      </c>
      <c r="F18" s="16">
        <v>17.894035955483691</v>
      </c>
      <c r="G18" s="2">
        <v>28313</v>
      </c>
      <c r="H18">
        <f t="shared" si="0"/>
        <v>5442</v>
      </c>
    </row>
    <row r="19" spans="1:8" ht="14.25" customHeight="1">
      <c r="A19" s="3" t="s">
        <v>16</v>
      </c>
      <c r="B19" s="2" t="s">
        <v>10</v>
      </c>
      <c r="C19" s="2">
        <v>9429</v>
      </c>
      <c r="D19" s="2">
        <v>966</v>
      </c>
      <c r="E19" s="2">
        <v>218723</v>
      </c>
      <c r="F19" s="16">
        <v>7.6914636320825887</v>
      </c>
      <c r="G19" s="2">
        <v>57639</v>
      </c>
      <c r="H19">
        <f t="shared" si="0"/>
        <v>8463</v>
      </c>
    </row>
    <row r="20" spans="1:8" ht="14.25" customHeight="1">
      <c r="A20" s="3" t="s">
        <v>16</v>
      </c>
      <c r="B20" s="2" t="s">
        <v>9</v>
      </c>
      <c r="C20" s="2">
        <v>3530</v>
      </c>
      <c r="D20" s="2">
        <v>328</v>
      </c>
      <c r="E20" s="2">
        <v>221925</v>
      </c>
      <c r="F20" s="16">
        <v>12.8372197814577</v>
      </c>
      <c r="G20" s="2">
        <v>11013</v>
      </c>
      <c r="H20">
        <f t="shared" si="0"/>
        <v>3202</v>
      </c>
    </row>
    <row r="21" spans="1:8" ht="14.25" customHeight="1">
      <c r="A21" s="3" t="s">
        <v>16</v>
      </c>
      <c r="B21" s="2" t="s">
        <v>9</v>
      </c>
      <c r="C21" s="2">
        <v>2960</v>
      </c>
      <c r="D21" s="2">
        <v>234</v>
      </c>
      <c r="E21" s="2">
        <v>224651</v>
      </c>
      <c r="F21" s="16">
        <v>17.41278694508371</v>
      </c>
      <c r="G21" s="2">
        <v>59378</v>
      </c>
      <c r="H21">
        <f t="shared" si="0"/>
        <v>2726</v>
      </c>
    </row>
    <row r="22" spans="1:8" ht="14.25" customHeight="1">
      <c r="A22" s="3" t="s">
        <v>17</v>
      </c>
      <c r="B22" s="2" t="s">
        <v>10</v>
      </c>
      <c r="C22" s="2">
        <v>8045</v>
      </c>
      <c r="D22" s="2">
        <v>894</v>
      </c>
      <c r="E22" s="2">
        <v>231802</v>
      </c>
      <c r="F22" s="16">
        <v>47.634187798207087</v>
      </c>
      <c r="G22" s="2">
        <v>33705</v>
      </c>
      <c r="H22">
        <f t="shared" si="0"/>
        <v>7151</v>
      </c>
    </row>
    <row r="23" spans="1:8" ht="14.25" customHeight="1">
      <c r="A23" s="3" t="s">
        <v>17</v>
      </c>
      <c r="B23" s="2" t="s">
        <v>14</v>
      </c>
      <c r="C23" s="2">
        <v>2048</v>
      </c>
      <c r="D23" s="2">
        <v>130</v>
      </c>
      <c r="E23" s="2">
        <v>233720</v>
      </c>
      <c r="F23" s="16">
        <v>39.284614068115687</v>
      </c>
      <c r="G23" s="2">
        <v>11828</v>
      </c>
      <c r="H23">
        <f t="shared" si="0"/>
        <v>1918</v>
      </c>
    </row>
    <row r="24" spans="1:8" ht="14.25" customHeight="1">
      <c r="A24" s="3" t="s">
        <v>17</v>
      </c>
      <c r="B24" s="2" t="s">
        <v>14</v>
      </c>
      <c r="C24" s="2">
        <v>6772</v>
      </c>
      <c r="D24" s="2">
        <v>536</v>
      </c>
      <c r="E24" s="2">
        <v>239956</v>
      </c>
      <c r="F24" s="16">
        <v>9.8205504342462788</v>
      </c>
      <c r="G24" s="2">
        <v>17909</v>
      </c>
      <c r="H24">
        <f t="shared" si="0"/>
        <v>6236</v>
      </c>
    </row>
    <row r="25" spans="1:8" ht="14.25" customHeight="1">
      <c r="A25" s="3" t="s">
        <v>17</v>
      </c>
      <c r="B25" s="2" t="s">
        <v>14</v>
      </c>
      <c r="C25" s="2">
        <v>3529</v>
      </c>
      <c r="D25" s="2">
        <v>305</v>
      </c>
      <c r="E25" s="2">
        <v>243180</v>
      </c>
      <c r="F25" s="16">
        <v>41.606628834608109</v>
      </c>
      <c r="G25" s="2">
        <v>48356</v>
      </c>
      <c r="H25">
        <f t="shared" si="0"/>
        <v>3224</v>
      </c>
    </row>
    <row r="26" spans="1:8" ht="14.25" customHeight="1">
      <c r="A26" s="3" t="s">
        <v>18</v>
      </c>
      <c r="B26" s="2" t="s">
        <v>9</v>
      </c>
      <c r="C26" s="2">
        <v>3964</v>
      </c>
      <c r="D26" s="2">
        <v>378</v>
      </c>
      <c r="E26" s="2">
        <v>246766</v>
      </c>
      <c r="F26" s="16">
        <v>13.6355899921383</v>
      </c>
      <c r="G26" s="2">
        <v>23109</v>
      </c>
      <c r="H26">
        <f t="shared" si="0"/>
        <v>3586</v>
      </c>
    </row>
    <row r="27" spans="1:8" ht="14.25" customHeight="1">
      <c r="A27" s="3" t="s">
        <v>18</v>
      </c>
      <c r="B27" s="2" t="s">
        <v>10</v>
      </c>
      <c r="C27" s="2">
        <v>8137</v>
      </c>
      <c r="D27" s="2">
        <v>1045</v>
      </c>
      <c r="E27" s="2">
        <v>253858</v>
      </c>
      <c r="F27" s="16">
        <v>20.47246886054408</v>
      </c>
      <c r="G27" s="2">
        <v>12023</v>
      </c>
      <c r="H27">
        <f t="shared" si="0"/>
        <v>7092</v>
      </c>
    </row>
    <row r="28" spans="1:8" ht="14.25" customHeight="1">
      <c r="A28" s="3" t="s">
        <v>18</v>
      </c>
      <c r="B28" s="2" t="s">
        <v>11</v>
      </c>
      <c r="C28" s="2">
        <v>1963</v>
      </c>
      <c r="D28" s="2">
        <v>137</v>
      </c>
      <c r="E28" s="2">
        <v>255684</v>
      </c>
      <c r="F28" s="16">
        <v>11.2083665774941</v>
      </c>
      <c r="G28" s="2">
        <v>24537</v>
      </c>
      <c r="H28">
        <f t="shared" si="0"/>
        <v>1826</v>
      </c>
    </row>
    <row r="29" spans="1:8" ht="14.25" customHeight="1">
      <c r="A29" s="3" t="s">
        <v>18</v>
      </c>
      <c r="B29" s="2" t="s">
        <v>9</v>
      </c>
      <c r="C29" s="2">
        <v>1536</v>
      </c>
      <c r="D29" s="2">
        <v>155</v>
      </c>
      <c r="E29" s="2">
        <v>257065</v>
      </c>
      <c r="F29" s="16">
        <v>12.15762550327738</v>
      </c>
      <c r="G29" s="2">
        <v>36661</v>
      </c>
      <c r="H29">
        <f t="shared" si="0"/>
        <v>1381</v>
      </c>
    </row>
    <row r="30" spans="1:8" ht="14.25" customHeight="1">
      <c r="A30" s="3" t="s">
        <v>19</v>
      </c>
      <c r="B30" s="2" t="s">
        <v>14</v>
      </c>
      <c r="C30" s="2">
        <v>8340</v>
      </c>
      <c r="D30" s="2">
        <v>911</v>
      </c>
      <c r="E30" s="2">
        <v>264494</v>
      </c>
      <c r="F30" s="16">
        <v>37.302925586213682</v>
      </c>
      <c r="G30" s="2">
        <v>48659</v>
      </c>
      <c r="H30">
        <f t="shared" si="0"/>
        <v>7429</v>
      </c>
    </row>
    <row r="31" spans="1:8" ht="14.25" customHeight="1">
      <c r="A31" s="3" t="s">
        <v>19</v>
      </c>
      <c r="B31" s="2" t="s">
        <v>10</v>
      </c>
      <c r="C31" s="2">
        <v>8179</v>
      </c>
      <c r="D31" s="2">
        <v>446</v>
      </c>
      <c r="E31" s="2">
        <v>272227</v>
      </c>
      <c r="F31" s="16">
        <v>41.82171496581897</v>
      </c>
      <c r="G31" s="2">
        <v>43848</v>
      </c>
      <c r="H31">
        <f t="shared" si="0"/>
        <v>7733</v>
      </c>
    </row>
    <row r="32" spans="1:8" ht="14.25" customHeight="1">
      <c r="A32" s="3" t="s">
        <v>19</v>
      </c>
      <c r="B32" s="2" t="s">
        <v>14</v>
      </c>
      <c r="C32" s="2">
        <v>8967</v>
      </c>
      <c r="D32" s="2">
        <v>993</v>
      </c>
      <c r="E32" s="2">
        <v>280201</v>
      </c>
      <c r="F32" s="16">
        <v>52.792102811910027</v>
      </c>
      <c r="G32" s="2">
        <v>47804</v>
      </c>
      <c r="H32">
        <f t="shared" si="0"/>
        <v>7974</v>
      </c>
    </row>
    <row r="33" spans="1:8" ht="14.25" customHeight="1">
      <c r="A33" s="3" t="s">
        <v>19</v>
      </c>
      <c r="B33" s="2" t="s">
        <v>11</v>
      </c>
      <c r="C33" s="2">
        <v>9734</v>
      </c>
      <c r="D33" s="2">
        <v>652</v>
      </c>
      <c r="E33" s="2">
        <v>289283</v>
      </c>
      <c r="F33" s="16">
        <v>49.647922622483861</v>
      </c>
      <c r="G33" s="2">
        <v>25379</v>
      </c>
      <c r="H33">
        <f t="shared" si="0"/>
        <v>9082</v>
      </c>
    </row>
    <row r="34" spans="1:8" ht="14.25" customHeight="1">
      <c r="A34" s="3" t="s">
        <v>20</v>
      </c>
      <c r="B34" s="2" t="s">
        <v>14</v>
      </c>
      <c r="C34" s="2">
        <v>1845</v>
      </c>
      <c r="D34" s="2">
        <v>104</v>
      </c>
      <c r="E34" s="2">
        <v>291024</v>
      </c>
      <c r="F34" s="16">
        <v>28.158158777282971</v>
      </c>
      <c r="G34" s="2">
        <v>37766</v>
      </c>
      <c r="H34">
        <f t="shared" si="0"/>
        <v>1741</v>
      </c>
    </row>
    <row r="35" spans="1:8" ht="14.25" customHeight="1">
      <c r="A35" s="3" t="s">
        <v>20</v>
      </c>
      <c r="B35" s="2" t="s">
        <v>14</v>
      </c>
      <c r="C35" s="2">
        <v>6777</v>
      </c>
      <c r="D35" s="2">
        <v>981</v>
      </c>
      <c r="E35" s="2">
        <v>296820</v>
      </c>
      <c r="F35" s="16">
        <v>23.920557913887201</v>
      </c>
      <c r="G35" s="2">
        <v>53590</v>
      </c>
      <c r="H35">
        <f t="shared" si="0"/>
        <v>5796</v>
      </c>
    </row>
    <row r="36" spans="1:8" ht="14.25" customHeight="1">
      <c r="A36" s="3" t="s">
        <v>20</v>
      </c>
      <c r="B36" s="2" t="s">
        <v>11</v>
      </c>
      <c r="C36" s="2">
        <v>4036</v>
      </c>
      <c r="D36" s="2">
        <v>591</v>
      </c>
      <c r="E36" s="2">
        <v>300265</v>
      </c>
      <c r="F36" s="16">
        <v>44.219272975538267</v>
      </c>
      <c r="G36" s="2">
        <v>12563</v>
      </c>
      <c r="H36">
        <f t="shared" si="0"/>
        <v>3445</v>
      </c>
    </row>
    <row r="37" spans="1:8" ht="14.25" customHeight="1">
      <c r="A37" s="3" t="s">
        <v>20</v>
      </c>
      <c r="B37" s="2" t="s">
        <v>10</v>
      </c>
      <c r="C37" s="2">
        <v>6947</v>
      </c>
      <c r="D37" s="2">
        <v>908</v>
      </c>
      <c r="E37" s="2">
        <v>306304</v>
      </c>
      <c r="F37" s="16">
        <v>14.117673944839121</v>
      </c>
      <c r="G37" s="2">
        <v>46060</v>
      </c>
      <c r="H37">
        <f t="shared" si="0"/>
        <v>6039</v>
      </c>
    </row>
    <row r="38" spans="1:8" ht="14.25" customHeight="1">
      <c r="A38" s="3" t="s">
        <v>21</v>
      </c>
      <c r="B38" s="2" t="s">
        <v>9</v>
      </c>
      <c r="C38" s="2">
        <v>3494</v>
      </c>
      <c r="D38" s="2">
        <v>281</v>
      </c>
      <c r="E38" s="2">
        <v>309517</v>
      </c>
      <c r="F38" s="16">
        <v>27.765518533715429</v>
      </c>
      <c r="G38" s="2">
        <v>39197</v>
      </c>
      <c r="H38">
        <f t="shared" si="0"/>
        <v>3213</v>
      </c>
    </row>
    <row r="39" spans="1:8" ht="14.25" customHeight="1">
      <c r="A39" s="3" t="s">
        <v>21</v>
      </c>
      <c r="B39" s="2" t="s">
        <v>10</v>
      </c>
      <c r="C39" s="2">
        <v>3719</v>
      </c>
      <c r="D39" s="2">
        <v>222</v>
      </c>
      <c r="E39" s="2">
        <v>313014</v>
      </c>
      <c r="F39" s="16">
        <v>21.669318305251519</v>
      </c>
      <c r="G39" s="2">
        <v>13586</v>
      </c>
      <c r="H39">
        <f t="shared" si="0"/>
        <v>3497</v>
      </c>
    </row>
    <row r="40" spans="1:8" ht="14.25" customHeight="1">
      <c r="A40" s="3" t="s">
        <v>21</v>
      </c>
      <c r="B40" s="2" t="s">
        <v>11</v>
      </c>
      <c r="C40" s="2">
        <v>2884</v>
      </c>
      <c r="D40" s="2">
        <v>341</v>
      </c>
      <c r="E40" s="2">
        <v>315557</v>
      </c>
      <c r="F40" s="16">
        <v>46.999749649033298</v>
      </c>
      <c r="G40" s="2">
        <v>26087</v>
      </c>
      <c r="H40">
        <f t="shared" si="0"/>
        <v>2543</v>
      </c>
    </row>
    <row r="41" spans="1:8" ht="14.25" customHeight="1">
      <c r="A41" s="3" t="s">
        <v>21</v>
      </c>
      <c r="B41" s="2" t="s">
        <v>14</v>
      </c>
      <c r="C41" s="2">
        <v>5349</v>
      </c>
      <c r="D41" s="2">
        <v>502</v>
      </c>
      <c r="E41" s="2">
        <v>320404</v>
      </c>
      <c r="F41" s="16">
        <v>5.2152906954969351</v>
      </c>
      <c r="G41" s="2">
        <v>58868</v>
      </c>
      <c r="H41">
        <f t="shared" si="0"/>
        <v>4847</v>
      </c>
    </row>
    <row r="42" spans="1:8" ht="14.25" customHeight="1">
      <c r="A42" s="3" t="s">
        <v>22</v>
      </c>
      <c r="B42" s="2" t="s">
        <v>10</v>
      </c>
      <c r="C42" s="2">
        <v>6179</v>
      </c>
      <c r="D42" s="2">
        <v>384</v>
      </c>
      <c r="E42" s="2">
        <v>326199</v>
      </c>
      <c r="F42" s="16">
        <v>14.71218489327067</v>
      </c>
      <c r="G42" s="2">
        <v>33225</v>
      </c>
      <c r="H42">
        <f t="shared" si="0"/>
        <v>5795</v>
      </c>
    </row>
    <row r="43" spans="1:8" ht="14.25" customHeight="1">
      <c r="A43" s="3" t="s">
        <v>22</v>
      </c>
      <c r="B43" s="2" t="s">
        <v>9</v>
      </c>
      <c r="C43" s="2">
        <v>7610</v>
      </c>
      <c r="D43" s="2">
        <v>757</v>
      </c>
      <c r="E43" s="2">
        <v>333052</v>
      </c>
      <c r="F43" s="16">
        <v>44.450416151231643</v>
      </c>
      <c r="G43" s="2">
        <v>39750</v>
      </c>
      <c r="H43">
        <f t="shared" si="0"/>
        <v>6853</v>
      </c>
    </row>
    <row r="44" spans="1:8" ht="14.25" customHeight="1">
      <c r="A44" s="3" t="s">
        <v>22</v>
      </c>
      <c r="B44" s="2" t="s">
        <v>11</v>
      </c>
      <c r="C44" s="2">
        <v>7430</v>
      </c>
      <c r="D44" s="2">
        <v>397</v>
      </c>
      <c r="E44" s="2">
        <v>340085</v>
      </c>
      <c r="F44" s="16">
        <v>28.065042562888689</v>
      </c>
      <c r="G44" s="2">
        <v>16643</v>
      </c>
      <c r="H44">
        <f t="shared" si="0"/>
        <v>7033</v>
      </c>
    </row>
    <row r="45" spans="1:8" ht="14.25" customHeight="1">
      <c r="A45" s="3" t="s">
        <v>22</v>
      </c>
      <c r="B45" s="2" t="s">
        <v>10</v>
      </c>
      <c r="C45" s="2">
        <v>8154</v>
      </c>
      <c r="D45" s="2">
        <v>1149</v>
      </c>
      <c r="E45" s="2">
        <v>347090</v>
      </c>
      <c r="F45" s="16">
        <v>26.003918292085629</v>
      </c>
      <c r="G45" s="2">
        <v>37523</v>
      </c>
      <c r="H45">
        <f t="shared" si="0"/>
        <v>7005</v>
      </c>
    </row>
    <row r="46" spans="1:8" ht="14.25" customHeight="1">
      <c r="A46" s="3" t="s">
        <v>23</v>
      </c>
      <c r="B46" s="2" t="s">
        <v>9</v>
      </c>
      <c r="C46" s="2">
        <v>7488</v>
      </c>
      <c r="D46" s="2">
        <v>568</v>
      </c>
      <c r="E46" s="2">
        <v>354010</v>
      </c>
      <c r="F46" s="16">
        <v>13.47730290104799</v>
      </c>
      <c r="G46" s="2">
        <v>46727</v>
      </c>
      <c r="H46">
        <f t="shared" si="0"/>
        <v>6920</v>
      </c>
    </row>
    <row r="47" spans="1:8" ht="14.25" customHeight="1">
      <c r="A47" s="3" t="s">
        <v>23</v>
      </c>
      <c r="B47" s="2" t="s">
        <v>11</v>
      </c>
      <c r="C47" s="2">
        <v>5737</v>
      </c>
      <c r="D47" s="2">
        <v>666</v>
      </c>
      <c r="E47" s="2">
        <v>359081</v>
      </c>
      <c r="F47" s="16">
        <v>4.6034181702735593</v>
      </c>
      <c r="G47" s="2">
        <v>21005</v>
      </c>
      <c r="H47">
        <f t="shared" si="0"/>
        <v>5071</v>
      </c>
    </row>
    <row r="48" spans="1:8" ht="14.25" customHeight="1">
      <c r="A48" s="3" t="s">
        <v>23</v>
      </c>
      <c r="B48" s="2" t="s">
        <v>9</v>
      </c>
      <c r="C48" s="2">
        <v>7525</v>
      </c>
      <c r="D48" s="2">
        <v>610</v>
      </c>
      <c r="E48" s="2">
        <v>365996</v>
      </c>
      <c r="F48" s="16">
        <v>5.7694619613329108</v>
      </c>
      <c r="G48" s="2">
        <v>53543</v>
      </c>
      <c r="H48">
        <f t="shared" si="0"/>
        <v>6915</v>
      </c>
    </row>
    <row r="49" spans="1:8" ht="14.25" customHeight="1">
      <c r="A49" s="3" t="s">
        <v>23</v>
      </c>
      <c r="B49" s="2" t="s">
        <v>11</v>
      </c>
      <c r="C49" s="2">
        <v>4850</v>
      </c>
      <c r="D49" s="2">
        <v>494</v>
      </c>
      <c r="E49" s="2">
        <v>370352</v>
      </c>
      <c r="F49" s="16">
        <v>20.46539508359615</v>
      </c>
      <c r="G49" s="2">
        <v>10161</v>
      </c>
      <c r="H49">
        <f t="shared" si="0"/>
        <v>4356</v>
      </c>
    </row>
    <row r="50" spans="1:8" ht="14.25" customHeight="1">
      <c r="A50" s="3" t="s">
        <v>24</v>
      </c>
      <c r="B50" s="2" t="s">
        <v>14</v>
      </c>
      <c r="C50" s="2">
        <v>1689</v>
      </c>
      <c r="D50" s="2">
        <v>176</v>
      </c>
      <c r="E50" s="2">
        <v>371865</v>
      </c>
      <c r="F50" s="16">
        <v>38.012181840183942</v>
      </c>
      <c r="G50" s="2">
        <v>26029</v>
      </c>
      <c r="H50">
        <f t="shared" si="0"/>
        <v>1513</v>
      </c>
    </row>
    <row r="51" spans="1:8" ht="14.25" customHeight="1">
      <c r="A51" s="3" t="s">
        <v>24</v>
      </c>
      <c r="B51" s="2" t="s">
        <v>10</v>
      </c>
      <c r="C51" s="2">
        <v>6175</v>
      </c>
      <c r="D51" s="2">
        <v>422</v>
      </c>
      <c r="E51" s="2">
        <v>377618</v>
      </c>
      <c r="F51" s="16">
        <v>37.86101298137271</v>
      </c>
      <c r="G51" s="2">
        <v>59745</v>
      </c>
      <c r="H51">
        <f t="shared" si="0"/>
        <v>5753</v>
      </c>
    </row>
    <row r="52" spans="1:8" ht="14.25" customHeight="1">
      <c r="A52" s="3" t="s">
        <v>24</v>
      </c>
      <c r="B52" s="2" t="s">
        <v>9</v>
      </c>
      <c r="C52" s="2">
        <v>9648</v>
      </c>
      <c r="D52" s="2">
        <v>1417</v>
      </c>
      <c r="E52" s="2">
        <v>385849</v>
      </c>
      <c r="F52" s="16">
        <v>3.6633501706626168</v>
      </c>
      <c r="G52" s="2">
        <v>24226</v>
      </c>
      <c r="H52">
        <f t="shared" si="0"/>
        <v>8231</v>
      </c>
    </row>
    <row r="53" spans="1:8" ht="14.25" customHeight="1">
      <c r="A53" s="3" t="s">
        <v>24</v>
      </c>
      <c r="B53" s="2" t="s">
        <v>11</v>
      </c>
      <c r="C53" s="2">
        <v>6078</v>
      </c>
      <c r="D53" s="2">
        <v>775</v>
      </c>
      <c r="E53" s="2">
        <v>391152</v>
      </c>
      <c r="F53" s="16">
        <v>37.760512537325639</v>
      </c>
      <c r="G53" s="2">
        <v>38731</v>
      </c>
      <c r="H53">
        <f t="shared" si="0"/>
        <v>5303</v>
      </c>
    </row>
    <row r="54" spans="1:8" ht="14.25" customHeight="1">
      <c r="A54" s="3" t="s">
        <v>25</v>
      </c>
      <c r="B54" s="2" t="s">
        <v>9</v>
      </c>
      <c r="C54" s="2">
        <v>6448</v>
      </c>
      <c r="D54" s="2">
        <v>928</v>
      </c>
      <c r="E54" s="2">
        <v>396672</v>
      </c>
      <c r="F54" s="16">
        <v>30.118586640851881</v>
      </c>
      <c r="G54" s="2">
        <v>53922</v>
      </c>
      <c r="H54">
        <f t="shared" si="0"/>
        <v>5520</v>
      </c>
    </row>
    <row r="55" spans="1:8" ht="14.25" customHeight="1">
      <c r="A55" s="3" t="s">
        <v>25</v>
      </c>
      <c r="B55" s="2" t="s">
        <v>9</v>
      </c>
      <c r="C55" s="2">
        <v>2179</v>
      </c>
      <c r="D55" s="2">
        <v>303</v>
      </c>
      <c r="E55" s="2">
        <v>398548</v>
      </c>
      <c r="F55" s="16">
        <v>33.909842729106657</v>
      </c>
      <c r="G55" s="2">
        <v>54848</v>
      </c>
      <c r="H55">
        <f t="shared" si="0"/>
        <v>1876</v>
      </c>
    </row>
    <row r="56" spans="1:8" ht="14.25" customHeight="1">
      <c r="A56" s="3" t="s">
        <v>25</v>
      </c>
      <c r="B56" s="2" t="s">
        <v>10</v>
      </c>
      <c r="C56" s="2">
        <v>7406</v>
      </c>
      <c r="D56" s="2">
        <v>813</v>
      </c>
      <c r="E56" s="2">
        <v>405141</v>
      </c>
      <c r="F56" s="16">
        <v>24.457411123534769</v>
      </c>
      <c r="G56" s="2">
        <v>13390</v>
      </c>
      <c r="H56">
        <f t="shared" si="0"/>
        <v>6593</v>
      </c>
    </row>
    <row r="57" spans="1:8" ht="14.25" customHeight="1">
      <c r="A57" s="3" t="s">
        <v>25</v>
      </c>
      <c r="B57" s="2" t="s">
        <v>14</v>
      </c>
      <c r="C57" s="2">
        <v>9591</v>
      </c>
      <c r="D57" s="2">
        <v>1363</v>
      </c>
      <c r="E57" s="2">
        <v>413369</v>
      </c>
      <c r="F57" s="16">
        <v>10.494255737609739</v>
      </c>
      <c r="G57" s="2">
        <v>15997</v>
      </c>
      <c r="H57">
        <f t="shared" si="0"/>
        <v>8228</v>
      </c>
    </row>
    <row r="58" spans="1:8" ht="14.25" customHeight="1">
      <c r="A58" s="3" t="s">
        <v>26</v>
      </c>
      <c r="B58" s="2" t="s">
        <v>9</v>
      </c>
      <c r="C58" s="2">
        <v>7907</v>
      </c>
      <c r="D58" s="2">
        <v>465</v>
      </c>
      <c r="E58" s="2">
        <v>420811</v>
      </c>
      <c r="F58" s="16">
        <v>33.257448118038738</v>
      </c>
      <c r="G58" s="2">
        <v>22693</v>
      </c>
      <c r="H58">
        <f t="shared" si="0"/>
        <v>7442</v>
      </c>
    </row>
    <row r="59" spans="1:8" ht="14.25" customHeight="1">
      <c r="A59" s="3" t="s">
        <v>26</v>
      </c>
      <c r="B59" s="2" t="s">
        <v>11</v>
      </c>
      <c r="C59" s="2">
        <v>9800</v>
      </c>
      <c r="D59" s="2">
        <v>682</v>
      </c>
      <c r="E59" s="2">
        <v>429929</v>
      </c>
      <c r="F59" s="16">
        <v>6.2966210699906267</v>
      </c>
      <c r="G59" s="2">
        <v>59815</v>
      </c>
      <c r="H59">
        <f t="shared" si="0"/>
        <v>9118</v>
      </c>
    </row>
    <row r="60" spans="1:8" ht="14.25" customHeight="1">
      <c r="A60" s="3" t="s">
        <v>26</v>
      </c>
      <c r="B60" s="2" t="s">
        <v>11</v>
      </c>
      <c r="C60" s="2">
        <v>2638</v>
      </c>
      <c r="D60" s="2">
        <v>143</v>
      </c>
      <c r="E60" s="2">
        <v>432424</v>
      </c>
      <c r="F60" s="16">
        <v>6.9547481175882924</v>
      </c>
      <c r="G60" s="2">
        <v>52092</v>
      </c>
      <c r="H60">
        <f t="shared" si="0"/>
        <v>2495</v>
      </c>
    </row>
    <row r="61" spans="1:8" ht="14.25" customHeight="1">
      <c r="A61" s="3" t="s">
        <v>26</v>
      </c>
      <c r="B61" s="2" t="s">
        <v>14</v>
      </c>
      <c r="C61" s="2">
        <v>6671</v>
      </c>
      <c r="D61" s="2">
        <v>550</v>
      </c>
      <c r="E61" s="2">
        <v>438545</v>
      </c>
      <c r="F61" s="16">
        <v>17.750287883797562</v>
      </c>
      <c r="G61" s="2">
        <v>10541</v>
      </c>
      <c r="H61">
        <f t="shared" si="0"/>
        <v>6121</v>
      </c>
    </row>
    <row r="62" spans="1:8" ht="14.25" customHeight="1">
      <c r="A62" s="3" t="s">
        <v>27</v>
      </c>
      <c r="B62" s="2" t="s">
        <v>11</v>
      </c>
      <c r="C62" s="2">
        <v>7928</v>
      </c>
      <c r="D62" s="2">
        <v>704</v>
      </c>
      <c r="E62" s="2">
        <v>445769</v>
      </c>
      <c r="F62" s="16">
        <v>11.194362999670229</v>
      </c>
      <c r="G62" s="2">
        <v>31817</v>
      </c>
      <c r="H62">
        <f t="shared" si="0"/>
        <v>7224</v>
      </c>
    </row>
    <row r="63" spans="1:8" ht="14.25" customHeight="1">
      <c r="A63" s="3" t="s">
        <v>27</v>
      </c>
      <c r="B63" s="2" t="s">
        <v>14</v>
      </c>
      <c r="C63" s="2">
        <v>2382</v>
      </c>
      <c r="D63" s="2">
        <v>183</v>
      </c>
      <c r="E63" s="2">
        <v>447968</v>
      </c>
      <c r="F63" s="16">
        <v>4.7335970426459033</v>
      </c>
      <c r="G63" s="2">
        <v>47861</v>
      </c>
      <c r="H63">
        <f t="shared" si="0"/>
        <v>2199</v>
      </c>
    </row>
    <row r="64" spans="1:8" ht="14.25" customHeight="1">
      <c r="A64" s="3" t="s">
        <v>27</v>
      </c>
      <c r="B64" s="2" t="s">
        <v>11</v>
      </c>
      <c r="C64" s="2">
        <v>2403</v>
      </c>
      <c r="D64" s="2">
        <v>319</v>
      </c>
      <c r="E64" s="2">
        <v>450052</v>
      </c>
      <c r="F64" s="16">
        <v>29.92120910472568</v>
      </c>
      <c r="G64" s="2">
        <v>23428</v>
      </c>
      <c r="H64">
        <f t="shared" si="0"/>
        <v>2084</v>
      </c>
    </row>
    <row r="65" spans="1:8" ht="14.25" customHeight="1">
      <c r="A65" s="3" t="s">
        <v>27</v>
      </c>
      <c r="B65" s="2" t="s">
        <v>10</v>
      </c>
      <c r="C65" s="2">
        <v>4292</v>
      </c>
      <c r="D65" s="2">
        <v>367</v>
      </c>
      <c r="E65" s="2">
        <v>453977</v>
      </c>
      <c r="F65" s="16">
        <v>3.5037017293827661</v>
      </c>
      <c r="G65" s="2">
        <v>53934</v>
      </c>
      <c r="H65">
        <f t="shared" si="0"/>
        <v>3925</v>
      </c>
    </row>
    <row r="66" spans="1:8" ht="14.25" customHeight="1">
      <c r="A66" s="3" t="s">
        <v>28</v>
      </c>
      <c r="B66" s="2" t="s">
        <v>9</v>
      </c>
      <c r="C66" s="2">
        <v>1419</v>
      </c>
      <c r="D66" s="2">
        <v>110</v>
      </c>
      <c r="E66" s="2">
        <v>455286</v>
      </c>
      <c r="F66" s="16">
        <v>31.554451487636339</v>
      </c>
      <c r="G66" s="2">
        <v>58831</v>
      </c>
      <c r="H66">
        <f t="shared" si="0"/>
        <v>1309</v>
      </c>
    </row>
    <row r="67" spans="1:8" ht="14.25" customHeight="1">
      <c r="A67" s="3" t="s">
        <v>28</v>
      </c>
      <c r="B67" s="2" t="s">
        <v>10</v>
      </c>
      <c r="C67" s="2">
        <v>5517</v>
      </c>
      <c r="D67" s="2">
        <v>575</v>
      </c>
      <c r="E67" s="2">
        <v>460228</v>
      </c>
      <c r="F67" s="16">
        <v>29.45844233727631</v>
      </c>
      <c r="G67" s="2">
        <v>20258</v>
      </c>
      <c r="H67">
        <f t="shared" ref="H67:H130" si="1">C67-D67</f>
        <v>4942</v>
      </c>
    </row>
    <row r="68" spans="1:8" ht="14.25" customHeight="1">
      <c r="A68" s="3" t="s">
        <v>28</v>
      </c>
      <c r="B68" s="2" t="s">
        <v>9</v>
      </c>
      <c r="C68" s="2">
        <v>4302</v>
      </c>
      <c r="D68" s="2">
        <v>275</v>
      </c>
      <c r="E68" s="2">
        <v>464255</v>
      </c>
      <c r="F68" s="16">
        <v>15.72131694865968</v>
      </c>
      <c r="G68" s="2">
        <v>26044</v>
      </c>
      <c r="H68">
        <f t="shared" si="1"/>
        <v>4027</v>
      </c>
    </row>
    <row r="69" spans="1:8" ht="14.25" customHeight="1">
      <c r="A69" s="3" t="s">
        <v>28</v>
      </c>
      <c r="B69" s="2" t="s">
        <v>9</v>
      </c>
      <c r="C69" s="2">
        <v>8857</v>
      </c>
      <c r="D69" s="2">
        <v>1153</v>
      </c>
      <c r="E69" s="2">
        <v>471959</v>
      </c>
      <c r="F69" s="16">
        <v>19.214592793018038</v>
      </c>
      <c r="G69" s="2">
        <v>39411</v>
      </c>
      <c r="H69">
        <f t="shared" si="1"/>
        <v>7704</v>
      </c>
    </row>
    <row r="70" spans="1:8" ht="14.25" customHeight="1">
      <c r="A70" s="3" t="s">
        <v>29</v>
      </c>
      <c r="B70" s="2" t="s">
        <v>9</v>
      </c>
      <c r="C70" s="2">
        <v>8870</v>
      </c>
      <c r="D70" s="2">
        <v>509</v>
      </c>
      <c r="E70" s="2">
        <v>480320</v>
      </c>
      <c r="F70" s="16">
        <v>25.077864756828781</v>
      </c>
      <c r="G70" s="2">
        <v>15469</v>
      </c>
      <c r="H70">
        <f t="shared" si="1"/>
        <v>8361</v>
      </c>
    </row>
    <row r="71" spans="1:8" ht="14.25" customHeight="1">
      <c r="A71" s="3" t="s">
        <v>29</v>
      </c>
      <c r="B71" s="2" t="s">
        <v>10</v>
      </c>
      <c r="C71" s="2">
        <v>6693</v>
      </c>
      <c r="D71" s="2">
        <v>995</v>
      </c>
      <c r="E71" s="2">
        <v>486018</v>
      </c>
      <c r="F71" s="16">
        <v>23.761877132122681</v>
      </c>
      <c r="G71" s="2">
        <v>38854</v>
      </c>
      <c r="H71">
        <f t="shared" si="1"/>
        <v>5698</v>
      </c>
    </row>
    <row r="72" spans="1:8" ht="14.25" customHeight="1">
      <c r="A72" s="3" t="s">
        <v>29</v>
      </c>
      <c r="B72" s="2" t="s">
        <v>9</v>
      </c>
      <c r="C72" s="2">
        <v>1767</v>
      </c>
      <c r="D72" s="2">
        <v>224</v>
      </c>
      <c r="E72" s="2">
        <v>487561</v>
      </c>
      <c r="F72" s="16">
        <v>13.208603641390511</v>
      </c>
      <c r="G72" s="2">
        <v>16256</v>
      </c>
      <c r="H72">
        <f t="shared" si="1"/>
        <v>1543</v>
      </c>
    </row>
    <row r="73" spans="1:8" ht="14.25" customHeight="1">
      <c r="A73" s="3" t="s">
        <v>29</v>
      </c>
      <c r="B73" s="2" t="s">
        <v>10</v>
      </c>
      <c r="C73" s="2">
        <v>3044</v>
      </c>
      <c r="D73" s="2">
        <v>212</v>
      </c>
      <c r="E73" s="2">
        <v>490393</v>
      </c>
      <c r="F73" s="16">
        <v>8.5343795690395261</v>
      </c>
      <c r="G73" s="2">
        <v>20720</v>
      </c>
      <c r="H73">
        <f t="shared" si="1"/>
        <v>2832</v>
      </c>
    </row>
    <row r="74" spans="1:8" ht="14.25" customHeight="1">
      <c r="A74" s="3" t="s">
        <v>30</v>
      </c>
      <c r="B74" s="2" t="s">
        <v>14</v>
      </c>
      <c r="C74" s="2">
        <v>2549</v>
      </c>
      <c r="D74" s="2">
        <v>128</v>
      </c>
      <c r="E74" s="2">
        <v>492814</v>
      </c>
      <c r="F74" s="16">
        <v>12.734216154573531</v>
      </c>
      <c r="G74" s="2">
        <v>43937</v>
      </c>
      <c r="H74">
        <f t="shared" si="1"/>
        <v>2421</v>
      </c>
    </row>
    <row r="75" spans="1:8" ht="14.25" customHeight="1">
      <c r="A75" s="3" t="s">
        <v>30</v>
      </c>
      <c r="B75" s="2" t="s">
        <v>11</v>
      </c>
      <c r="C75" s="2">
        <v>7140</v>
      </c>
      <c r="D75" s="2">
        <v>939</v>
      </c>
      <c r="E75" s="2">
        <v>499015</v>
      </c>
      <c r="F75" s="16">
        <v>25.120888149654821</v>
      </c>
      <c r="G75" s="2">
        <v>43598</v>
      </c>
      <c r="H75">
        <f t="shared" si="1"/>
        <v>6201</v>
      </c>
    </row>
    <row r="76" spans="1:8" ht="14.25" customHeight="1">
      <c r="A76" s="3" t="s">
        <v>30</v>
      </c>
      <c r="B76" s="2" t="s">
        <v>11</v>
      </c>
      <c r="C76" s="2">
        <v>4716</v>
      </c>
      <c r="D76" s="2">
        <v>569</v>
      </c>
      <c r="E76" s="2">
        <v>503162</v>
      </c>
      <c r="F76" s="16">
        <v>25.64820077827817</v>
      </c>
      <c r="G76" s="2">
        <v>11651</v>
      </c>
      <c r="H76">
        <f t="shared" si="1"/>
        <v>4147</v>
      </c>
    </row>
    <row r="77" spans="1:8" ht="14.25" customHeight="1">
      <c r="A77" s="3" t="s">
        <v>30</v>
      </c>
      <c r="B77" s="2" t="s">
        <v>9</v>
      </c>
      <c r="C77" s="2">
        <v>5481</v>
      </c>
      <c r="D77" s="2">
        <v>673</v>
      </c>
      <c r="E77" s="2">
        <v>507970</v>
      </c>
      <c r="F77" s="16">
        <v>13.08758391243577</v>
      </c>
      <c r="G77" s="2">
        <v>29194</v>
      </c>
      <c r="H77">
        <f t="shared" si="1"/>
        <v>4808</v>
      </c>
    </row>
    <row r="78" spans="1:8" ht="14.25" customHeight="1">
      <c r="A78" s="3" t="s">
        <v>31</v>
      </c>
      <c r="B78" s="2" t="s">
        <v>10</v>
      </c>
      <c r="C78" s="2">
        <v>8898</v>
      </c>
      <c r="D78" s="2">
        <v>1131</v>
      </c>
      <c r="E78" s="2">
        <v>515737</v>
      </c>
      <c r="F78" s="16">
        <v>2.1877429775253669</v>
      </c>
      <c r="G78" s="2">
        <v>35051</v>
      </c>
      <c r="H78">
        <f t="shared" si="1"/>
        <v>7767</v>
      </c>
    </row>
    <row r="79" spans="1:8" ht="14.25" customHeight="1">
      <c r="A79" s="3" t="s">
        <v>31</v>
      </c>
      <c r="B79" s="2" t="s">
        <v>11</v>
      </c>
      <c r="C79" s="2">
        <v>7548</v>
      </c>
      <c r="D79" s="2">
        <v>433</v>
      </c>
      <c r="E79" s="2">
        <v>522852</v>
      </c>
      <c r="F79" s="16">
        <v>8.3562843787534522</v>
      </c>
      <c r="G79" s="2">
        <v>37386</v>
      </c>
      <c r="H79">
        <f t="shared" si="1"/>
        <v>7115</v>
      </c>
    </row>
    <row r="80" spans="1:8" ht="14.25" customHeight="1">
      <c r="A80" s="3" t="s">
        <v>31</v>
      </c>
      <c r="B80" s="2" t="s">
        <v>10</v>
      </c>
      <c r="C80" s="2">
        <v>3293</v>
      </c>
      <c r="D80" s="2">
        <v>282</v>
      </c>
      <c r="E80" s="2">
        <v>525863</v>
      </c>
      <c r="F80" s="16">
        <v>27.040693108281051</v>
      </c>
      <c r="G80" s="2">
        <v>19518</v>
      </c>
      <c r="H80">
        <f t="shared" si="1"/>
        <v>3011</v>
      </c>
    </row>
    <row r="81" spans="1:8" ht="14.25" customHeight="1">
      <c r="A81" s="3" t="s">
        <v>31</v>
      </c>
      <c r="B81" s="2" t="s">
        <v>10</v>
      </c>
      <c r="C81" s="2">
        <v>5837</v>
      </c>
      <c r="D81" s="2">
        <v>359</v>
      </c>
      <c r="E81" s="2">
        <v>531341</v>
      </c>
      <c r="F81" s="16">
        <v>6.8073045370110723</v>
      </c>
      <c r="G81" s="2">
        <v>56026</v>
      </c>
      <c r="H81">
        <f t="shared" si="1"/>
        <v>5478</v>
      </c>
    </row>
    <row r="82" spans="1:8" ht="14.25" customHeight="1">
      <c r="A82" s="3" t="s">
        <v>32</v>
      </c>
      <c r="B82" s="2" t="s">
        <v>9</v>
      </c>
      <c r="C82" s="2">
        <v>8758</v>
      </c>
      <c r="D82" s="2">
        <v>1193</v>
      </c>
      <c r="E82" s="2">
        <v>538906</v>
      </c>
      <c r="F82" s="16">
        <v>3.4213758985797149</v>
      </c>
      <c r="G82" s="2">
        <v>26184</v>
      </c>
      <c r="H82">
        <f t="shared" si="1"/>
        <v>7565</v>
      </c>
    </row>
    <row r="83" spans="1:8" ht="14.25" customHeight="1">
      <c r="A83" s="3" t="s">
        <v>32</v>
      </c>
      <c r="B83" s="2" t="s">
        <v>11</v>
      </c>
      <c r="C83" s="2">
        <v>7793</v>
      </c>
      <c r="D83" s="2">
        <v>875</v>
      </c>
      <c r="E83" s="2">
        <v>545824</v>
      </c>
      <c r="F83" s="16">
        <v>5.5136820660139527</v>
      </c>
      <c r="G83" s="2">
        <v>43787</v>
      </c>
      <c r="H83">
        <f t="shared" si="1"/>
        <v>6918</v>
      </c>
    </row>
    <row r="84" spans="1:8" ht="14.25" customHeight="1">
      <c r="A84" s="3" t="s">
        <v>32</v>
      </c>
      <c r="B84" s="2" t="s">
        <v>9</v>
      </c>
      <c r="C84" s="2">
        <v>8638</v>
      </c>
      <c r="D84" s="2">
        <v>717</v>
      </c>
      <c r="E84" s="2">
        <v>553745</v>
      </c>
      <c r="F84" s="16">
        <v>26.921416897669499</v>
      </c>
      <c r="G84" s="2">
        <v>31621</v>
      </c>
      <c r="H84">
        <f t="shared" si="1"/>
        <v>7921</v>
      </c>
    </row>
    <row r="85" spans="1:8" ht="14.25" customHeight="1">
      <c r="A85" s="3" t="s">
        <v>32</v>
      </c>
      <c r="B85" s="2" t="s">
        <v>9</v>
      </c>
      <c r="C85" s="2">
        <v>8993</v>
      </c>
      <c r="D85" s="2">
        <v>506</v>
      </c>
      <c r="E85" s="2">
        <v>562232</v>
      </c>
      <c r="F85" s="16">
        <v>3.5131404829323132</v>
      </c>
      <c r="G85" s="2">
        <v>20028</v>
      </c>
      <c r="H85">
        <f t="shared" si="1"/>
        <v>8487</v>
      </c>
    </row>
    <row r="86" spans="1:8" ht="14.25" customHeight="1">
      <c r="A86" s="3" t="s">
        <v>33</v>
      </c>
      <c r="B86" s="2" t="s">
        <v>11</v>
      </c>
      <c r="C86" s="2">
        <v>7007</v>
      </c>
      <c r="D86" s="2">
        <v>568</v>
      </c>
      <c r="E86" s="2">
        <v>568671</v>
      </c>
      <c r="F86" s="16">
        <v>11.50507059442103</v>
      </c>
      <c r="G86" s="2">
        <v>22448</v>
      </c>
      <c r="H86">
        <f t="shared" si="1"/>
        <v>6439</v>
      </c>
    </row>
    <row r="87" spans="1:8" ht="14.25" customHeight="1">
      <c r="A87" s="3" t="s">
        <v>33</v>
      </c>
      <c r="B87" s="2" t="s">
        <v>11</v>
      </c>
      <c r="C87" s="2">
        <v>6542</v>
      </c>
      <c r="D87" s="2">
        <v>539</v>
      </c>
      <c r="E87" s="2">
        <v>574674</v>
      </c>
      <c r="F87" s="16">
        <v>6.4069368024305948</v>
      </c>
      <c r="G87" s="2">
        <v>55253</v>
      </c>
      <c r="H87">
        <f t="shared" si="1"/>
        <v>6003</v>
      </c>
    </row>
    <row r="88" spans="1:8" ht="14.25" customHeight="1">
      <c r="A88" s="3" t="s">
        <v>33</v>
      </c>
      <c r="B88" s="2" t="s">
        <v>14</v>
      </c>
      <c r="C88" s="2">
        <v>7356</v>
      </c>
      <c r="D88" s="2">
        <v>904</v>
      </c>
      <c r="E88" s="2">
        <v>581126</v>
      </c>
      <c r="F88" s="16">
        <v>17.560907617280929</v>
      </c>
      <c r="G88" s="2">
        <v>44051</v>
      </c>
      <c r="H88">
        <f t="shared" si="1"/>
        <v>6452</v>
      </c>
    </row>
    <row r="89" spans="1:8" ht="14.25" customHeight="1">
      <c r="A89" s="3" t="s">
        <v>33</v>
      </c>
      <c r="B89" s="2" t="s">
        <v>14</v>
      </c>
      <c r="C89" s="2">
        <v>9433</v>
      </c>
      <c r="D89" s="2">
        <v>1073</v>
      </c>
      <c r="E89" s="2">
        <v>589486</v>
      </c>
      <c r="F89" s="16">
        <v>7.2934726185185053</v>
      </c>
      <c r="G89" s="2">
        <v>59811</v>
      </c>
      <c r="H89">
        <f t="shared" si="1"/>
        <v>8360</v>
      </c>
    </row>
    <row r="90" spans="1:8" ht="14.25" customHeight="1">
      <c r="A90" s="3" t="s">
        <v>34</v>
      </c>
      <c r="B90" s="2" t="s">
        <v>10</v>
      </c>
      <c r="C90" s="2">
        <v>8380</v>
      </c>
      <c r="D90" s="2">
        <v>1162</v>
      </c>
      <c r="E90" s="2">
        <v>596704</v>
      </c>
      <c r="F90" s="16">
        <v>18.05853488496809</v>
      </c>
      <c r="G90" s="2">
        <v>40447</v>
      </c>
      <c r="H90">
        <f t="shared" si="1"/>
        <v>7218</v>
      </c>
    </row>
    <row r="91" spans="1:8" ht="14.25" customHeight="1">
      <c r="A91" s="3" t="s">
        <v>34</v>
      </c>
      <c r="B91" s="2" t="s">
        <v>11</v>
      </c>
      <c r="C91" s="2">
        <v>3385</v>
      </c>
      <c r="D91" s="2">
        <v>329</v>
      </c>
      <c r="E91" s="2">
        <v>599760</v>
      </c>
      <c r="F91" s="16">
        <v>17.61788048552755</v>
      </c>
      <c r="G91" s="2">
        <v>28394</v>
      </c>
      <c r="H91">
        <f t="shared" si="1"/>
        <v>3056</v>
      </c>
    </row>
    <row r="92" spans="1:8" ht="14.25" customHeight="1">
      <c r="A92" s="3" t="s">
        <v>34</v>
      </c>
      <c r="B92" s="2" t="s">
        <v>14</v>
      </c>
      <c r="C92" s="2">
        <v>5268</v>
      </c>
      <c r="D92" s="2">
        <v>326</v>
      </c>
      <c r="E92" s="2">
        <v>604702</v>
      </c>
      <c r="F92" s="16">
        <v>23.435841125050029</v>
      </c>
      <c r="G92" s="2">
        <v>44501</v>
      </c>
      <c r="H92">
        <f t="shared" si="1"/>
        <v>4942</v>
      </c>
    </row>
    <row r="93" spans="1:8" ht="14.25" customHeight="1">
      <c r="A93" s="3" t="s">
        <v>34</v>
      </c>
      <c r="B93" s="2" t="s">
        <v>10</v>
      </c>
      <c r="C93" s="2">
        <v>1671</v>
      </c>
      <c r="D93" s="2">
        <v>202</v>
      </c>
      <c r="E93" s="2">
        <v>606171</v>
      </c>
      <c r="F93" s="16">
        <v>15.150015424690389</v>
      </c>
      <c r="G93" s="2">
        <v>40254</v>
      </c>
      <c r="H93">
        <f t="shared" si="1"/>
        <v>1469</v>
      </c>
    </row>
    <row r="94" spans="1:8" ht="14.25" customHeight="1">
      <c r="A94" s="3" t="s">
        <v>35</v>
      </c>
      <c r="B94" s="2" t="s">
        <v>10</v>
      </c>
      <c r="C94" s="2">
        <v>1163</v>
      </c>
      <c r="D94" s="2">
        <v>146</v>
      </c>
      <c r="E94" s="2">
        <v>607188</v>
      </c>
      <c r="F94" s="16">
        <v>21.77776899411715</v>
      </c>
      <c r="G94" s="2">
        <v>28509</v>
      </c>
      <c r="H94">
        <f t="shared" si="1"/>
        <v>1017</v>
      </c>
    </row>
    <row r="95" spans="1:8" ht="14.25" customHeight="1">
      <c r="A95" s="3" t="s">
        <v>35</v>
      </c>
      <c r="B95" s="2" t="s">
        <v>10</v>
      </c>
      <c r="C95" s="2">
        <v>9656</v>
      </c>
      <c r="D95" s="2">
        <v>1024</v>
      </c>
      <c r="E95" s="2">
        <v>615820</v>
      </c>
      <c r="F95" s="16">
        <v>8.7252768666168681</v>
      </c>
      <c r="G95" s="2">
        <v>58998</v>
      </c>
      <c r="H95">
        <f t="shared" si="1"/>
        <v>8632</v>
      </c>
    </row>
    <row r="96" spans="1:8" ht="14.25" customHeight="1">
      <c r="A96" s="3" t="s">
        <v>35</v>
      </c>
      <c r="B96" s="2" t="s">
        <v>14</v>
      </c>
      <c r="C96" s="2">
        <v>5592</v>
      </c>
      <c r="D96" s="2">
        <v>710</v>
      </c>
      <c r="E96" s="2">
        <v>620702</v>
      </c>
      <c r="F96" s="16">
        <v>9.07118069540617</v>
      </c>
      <c r="G96" s="2">
        <v>24472</v>
      </c>
      <c r="H96">
        <f t="shared" si="1"/>
        <v>4882</v>
      </c>
    </row>
    <row r="97" spans="1:8" ht="14.25" customHeight="1">
      <c r="A97" s="3" t="s">
        <v>35</v>
      </c>
      <c r="B97" s="2" t="s">
        <v>11</v>
      </c>
      <c r="C97" s="2">
        <v>5795</v>
      </c>
      <c r="D97" s="2">
        <v>575</v>
      </c>
      <c r="E97" s="2">
        <v>625922</v>
      </c>
      <c r="F97" s="16">
        <v>3.0908004511744269</v>
      </c>
      <c r="G97" s="2">
        <v>55657</v>
      </c>
      <c r="H97">
        <f t="shared" si="1"/>
        <v>5220</v>
      </c>
    </row>
    <row r="98" spans="1:8" ht="14.25" customHeight="1">
      <c r="A98" s="3" t="s">
        <v>36</v>
      </c>
      <c r="B98" s="2" t="s">
        <v>9</v>
      </c>
      <c r="C98" s="2">
        <v>5798</v>
      </c>
      <c r="D98" s="2">
        <v>592</v>
      </c>
      <c r="E98" s="2">
        <v>631128</v>
      </c>
      <c r="F98" s="16">
        <v>1.6774727155188811</v>
      </c>
      <c r="G98" s="2">
        <v>13471</v>
      </c>
      <c r="H98">
        <f t="shared" si="1"/>
        <v>5206</v>
      </c>
    </row>
    <row r="99" spans="1:8" ht="14.25" customHeight="1">
      <c r="A99" s="3" t="s">
        <v>36</v>
      </c>
      <c r="B99" s="2" t="s">
        <v>10</v>
      </c>
      <c r="C99" s="2">
        <v>7036</v>
      </c>
      <c r="D99" s="2">
        <v>652</v>
      </c>
      <c r="E99" s="2">
        <v>637512</v>
      </c>
      <c r="F99" s="16">
        <v>3.5705994553828009</v>
      </c>
      <c r="G99" s="2">
        <v>51796</v>
      </c>
      <c r="H99">
        <f t="shared" si="1"/>
        <v>6384</v>
      </c>
    </row>
    <row r="100" spans="1:8" ht="14.25" customHeight="1">
      <c r="A100" s="3" t="s">
        <v>36</v>
      </c>
      <c r="B100" s="2" t="s">
        <v>14</v>
      </c>
      <c r="C100" s="2">
        <v>3355</v>
      </c>
      <c r="D100" s="2">
        <v>176</v>
      </c>
      <c r="E100" s="2">
        <v>640691</v>
      </c>
      <c r="F100" s="16">
        <v>12.426427091999111</v>
      </c>
      <c r="G100" s="2">
        <v>40268</v>
      </c>
      <c r="H100">
        <f t="shared" si="1"/>
        <v>3179</v>
      </c>
    </row>
    <row r="101" spans="1:8" ht="14.25" customHeight="1">
      <c r="A101" s="3" t="s">
        <v>36</v>
      </c>
      <c r="B101" s="2" t="s">
        <v>14</v>
      </c>
      <c r="C101" s="2">
        <v>6887</v>
      </c>
      <c r="D101" s="2">
        <v>418</v>
      </c>
      <c r="E101" s="2">
        <v>647160</v>
      </c>
      <c r="F101" s="16">
        <v>20.240280610668151</v>
      </c>
      <c r="G101" s="2">
        <v>18329</v>
      </c>
      <c r="H101">
        <f t="shared" si="1"/>
        <v>6469</v>
      </c>
    </row>
    <row r="102" spans="1:8" ht="14.25" customHeight="1">
      <c r="A102" s="3" t="s">
        <v>37</v>
      </c>
      <c r="B102" s="2" t="s">
        <v>9</v>
      </c>
      <c r="C102" s="2">
        <v>8961</v>
      </c>
      <c r="D102" s="2">
        <v>476</v>
      </c>
      <c r="E102" s="2">
        <v>655645</v>
      </c>
      <c r="F102" s="16">
        <v>15.458517947974901</v>
      </c>
      <c r="G102" s="2">
        <v>44865</v>
      </c>
      <c r="H102">
        <f t="shared" si="1"/>
        <v>8485</v>
      </c>
    </row>
    <row r="103" spans="1:8" ht="14.25" customHeight="1">
      <c r="A103" s="3" t="s">
        <v>37</v>
      </c>
      <c r="B103" s="2" t="s">
        <v>9</v>
      </c>
      <c r="C103" s="2">
        <v>6827</v>
      </c>
      <c r="D103" s="2">
        <v>775</v>
      </c>
      <c r="E103" s="2">
        <v>661697</v>
      </c>
      <c r="F103" s="16">
        <v>15.96622018839439</v>
      </c>
      <c r="G103" s="2">
        <v>56850</v>
      </c>
      <c r="H103">
        <f t="shared" si="1"/>
        <v>6052</v>
      </c>
    </row>
    <row r="104" spans="1:8" ht="14.25" customHeight="1">
      <c r="A104" s="3" t="s">
        <v>37</v>
      </c>
      <c r="B104" s="2" t="s">
        <v>14</v>
      </c>
      <c r="C104" s="2">
        <v>9737</v>
      </c>
      <c r="D104" s="2">
        <v>792</v>
      </c>
      <c r="E104" s="2">
        <v>670642</v>
      </c>
      <c r="F104" s="16">
        <v>5.301785453341723</v>
      </c>
      <c r="G104" s="2">
        <v>56698</v>
      </c>
      <c r="H104">
        <f t="shared" si="1"/>
        <v>8945</v>
      </c>
    </row>
    <row r="105" spans="1:8" ht="14.25" customHeight="1">
      <c r="A105" s="3" t="s">
        <v>37</v>
      </c>
      <c r="B105" s="2" t="s">
        <v>11</v>
      </c>
      <c r="C105" s="2">
        <v>5719</v>
      </c>
      <c r="D105" s="2">
        <v>576</v>
      </c>
      <c r="E105" s="2">
        <v>675785</v>
      </c>
      <c r="F105" s="16">
        <v>10.21656296011305</v>
      </c>
      <c r="G105" s="2">
        <v>38272</v>
      </c>
      <c r="H105">
        <f t="shared" si="1"/>
        <v>5143</v>
      </c>
    </row>
    <row r="106" spans="1:8" ht="14.25" customHeight="1">
      <c r="A106" s="3" t="s">
        <v>38</v>
      </c>
      <c r="B106" s="2" t="s">
        <v>9</v>
      </c>
      <c r="C106" s="2">
        <v>1593</v>
      </c>
      <c r="D106" s="2">
        <v>224</v>
      </c>
      <c r="E106" s="2">
        <v>677154</v>
      </c>
      <c r="F106" s="16">
        <v>4.1495730660972248</v>
      </c>
      <c r="G106" s="2">
        <v>52845</v>
      </c>
      <c r="H106">
        <f t="shared" si="1"/>
        <v>1369</v>
      </c>
    </row>
    <row r="107" spans="1:8" ht="14.25" customHeight="1">
      <c r="A107" s="3" t="s">
        <v>38</v>
      </c>
      <c r="B107" s="2" t="s">
        <v>14</v>
      </c>
      <c r="C107" s="2">
        <v>5839</v>
      </c>
      <c r="D107" s="2">
        <v>437</v>
      </c>
      <c r="E107" s="2">
        <v>682556</v>
      </c>
      <c r="F107" s="16">
        <v>17.44750613869045</v>
      </c>
      <c r="G107" s="2">
        <v>16397</v>
      </c>
      <c r="H107">
        <f t="shared" si="1"/>
        <v>5402</v>
      </c>
    </row>
    <row r="108" spans="1:8" ht="14.25" customHeight="1">
      <c r="A108" s="3" t="s">
        <v>38</v>
      </c>
      <c r="B108" s="2" t="s">
        <v>9</v>
      </c>
      <c r="C108" s="2">
        <v>8394</v>
      </c>
      <c r="D108" s="2">
        <v>764</v>
      </c>
      <c r="E108" s="2">
        <v>690186</v>
      </c>
      <c r="F108" s="16">
        <v>6.3556780346167558</v>
      </c>
      <c r="G108" s="2">
        <v>42373</v>
      </c>
      <c r="H108">
        <f t="shared" si="1"/>
        <v>7630</v>
      </c>
    </row>
    <row r="109" spans="1:8" ht="14.25" customHeight="1">
      <c r="A109" s="3" t="s">
        <v>38</v>
      </c>
      <c r="B109" s="2" t="s">
        <v>11</v>
      </c>
      <c r="C109" s="2">
        <v>4493</v>
      </c>
      <c r="D109" s="2">
        <v>564</v>
      </c>
      <c r="E109" s="2">
        <v>694115</v>
      </c>
      <c r="F109" s="16">
        <v>16.625487131094989</v>
      </c>
      <c r="G109" s="2">
        <v>45525</v>
      </c>
      <c r="H109">
        <f t="shared" si="1"/>
        <v>3929</v>
      </c>
    </row>
    <row r="110" spans="1:8" ht="14.25" customHeight="1">
      <c r="A110" s="3" t="s">
        <v>39</v>
      </c>
      <c r="B110" s="2" t="s">
        <v>10</v>
      </c>
      <c r="C110" s="2">
        <v>7164</v>
      </c>
      <c r="D110" s="2">
        <v>522</v>
      </c>
      <c r="E110" s="2">
        <v>700757</v>
      </c>
      <c r="F110" s="16">
        <v>13.449169969047761</v>
      </c>
      <c r="G110" s="2">
        <v>34570</v>
      </c>
      <c r="H110">
        <f t="shared" si="1"/>
        <v>6642</v>
      </c>
    </row>
    <row r="111" spans="1:8" ht="14.25" customHeight="1">
      <c r="A111" s="3" t="s">
        <v>39</v>
      </c>
      <c r="B111" s="2" t="s">
        <v>9</v>
      </c>
      <c r="C111" s="2">
        <v>3672</v>
      </c>
      <c r="D111" s="2">
        <v>211</v>
      </c>
      <c r="E111" s="2">
        <v>704218</v>
      </c>
      <c r="F111" s="16">
        <v>12.35057894004413</v>
      </c>
      <c r="G111" s="2">
        <v>28284</v>
      </c>
      <c r="H111">
        <f t="shared" si="1"/>
        <v>3461</v>
      </c>
    </row>
    <row r="112" spans="1:8" ht="14.25" customHeight="1">
      <c r="A112" s="3" t="s">
        <v>39</v>
      </c>
      <c r="B112" s="2" t="s">
        <v>11</v>
      </c>
      <c r="C112" s="2">
        <v>5200</v>
      </c>
      <c r="D112" s="2">
        <v>410</v>
      </c>
      <c r="E112" s="2">
        <v>709008</v>
      </c>
      <c r="F112" s="16">
        <v>12.913394489201821</v>
      </c>
      <c r="G112" s="2">
        <v>28994</v>
      </c>
      <c r="H112">
        <f t="shared" si="1"/>
        <v>4790</v>
      </c>
    </row>
    <row r="113" spans="1:8" ht="14.25" customHeight="1">
      <c r="A113" s="3" t="s">
        <v>39</v>
      </c>
      <c r="B113" s="2" t="s">
        <v>14</v>
      </c>
      <c r="C113" s="2">
        <v>1016</v>
      </c>
      <c r="D113" s="2">
        <v>67</v>
      </c>
      <c r="E113" s="2">
        <v>709957</v>
      </c>
      <c r="F113" s="16">
        <v>20.774215903216671</v>
      </c>
      <c r="G113" s="2">
        <v>33284</v>
      </c>
      <c r="H113">
        <f t="shared" si="1"/>
        <v>949</v>
      </c>
    </row>
    <row r="114" spans="1:8" ht="14.25" customHeight="1">
      <c r="A114" s="3" t="s">
        <v>40</v>
      </c>
      <c r="B114" s="2" t="s">
        <v>9</v>
      </c>
      <c r="C114" s="2">
        <v>4191</v>
      </c>
      <c r="D114" s="2">
        <v>599</v>
      </c>
      <c r="E114" s="2">
        <v>713549</v>
      </c>
      <c r="F114" s="16">
        <v>11.56416728213479</v>
      </c>
      <c r="G114" s="2">
        <v>27833</v>
      </c>
      <c r="H114">
        <f t="shared" si="1"/>
        <v>3592</v>
      </c>
    </row>
    <row r="115" spans="1:8" ht="14.25" customHeight="1">
      <c r="A115" s="3" t="s">
        <v>40</v>
      </c>
      <c r="B115" s="2" t="s">
        <v>9</v>
      </c>
      <c r="C115" s="2">
        <v>1392</v>
      </c>
      <c r="D115" s="2">
        <v>182</v>
      </c>
      <c r="E115" s="2">
        <v>714759</v>
      </c>
      <c r="F115" s="16">
        <v>5.9603306848881932</v>
      </c>
      <c r="G115" s="2">
        <v>35122</v>
      </c>
      <c r="H115">
        <f t="shared" si="1"/>
        <v>1210</v>
      </c>
    </row>
    <row r="116" spans="1:8" ht="14.25" customHeight="1">
      <c r="A116" s="3" t="s">
        <v>40</v>
      </c>
      <c r="B116" s="2" t="s">
        <v>14</v>
      </c>
      <c r="C116" s="2">
        <v>9616</v>
      </c>
      <c r="D116" s="2">
        <v>1089</v>
      </c>
      <c r="E116" s="2">
        <v>723286</v>
      </c>
      <c r="F116" s="16">
        <v>19.25863351426683</v>
      </c>
      <c r="G116" s="2">
        <v>15017</v>
      </c>
      <c r="H116">
        <f t="shared" si="1"/>
        <v>8527</v>
      </c>
    </row>
    <row r="117" spans="1:8" ht="14.25" customHeight="1">
      <c r="A117" s="3" t="s">
        <v>40</v>
      </c>
      <c r="B117" s="2" t="s">
        <v>10</v>
      </c>
      <c r="C117" s="2">
        <v>7272</v>
      </c>
      <c r="D117" s="2">
        <v>997</v>
      </c>
      <c r="E117" s="2">
        <v>729561</v>
      </c>
      <c r="F117" s="16">
        <v>13.428486445958599</v>
      </c>
      <c r="G117" s="2">
        <v>26370</v>
      </c>
      <c r="H117">
        <f t="shared" si="1"/>
        <v>6275</v>
      </c>
    </row>
    <row r="118" spans="1:8" ht="14.25" customHeight="1">
      <c r="A118" s="3" t="s">
        <v>41</v>
      </c>
      <c r="B118" s="2" t="s">
        <v>14</v>
      </c>
      <c r="C118" s="2">
        <v>1571</v>
      </c>
      <c r="D118" s="2">
        <v>204</v>
      </c>
      <c r="E118" s="2">
        <v>730928</v>
      </c>
      <c r="F118" s="16">
        <v>19.449384891535139</v>
      </c>
      <c r="G118" s="2">
        <v>39252</v>
      </c>
      <c r="H118">
        <f t="shared" si="1"/>
        <v>1367</v>
      </c>
    </row>
    <row r="119" spans="1:8" ht="14.25" customHeight="1">
      <c r="A119" s="3" t="s">
        <v>41</v>
      </c>
      <c r="B119" s="2" t="s">
        <v>9</v>
      </c>
      <c r="C119" s="2">
        <v>4631</v>
      </c>
      <c r="D119" s="2">
        <v>317</v>
      </c>
      <c r="E119" s="2">
        <v>735242</v>
      </c>
      <c r="F119" s="16">
        <v>1.381177897889402</v>
      </c>
      <c r="G119" s="2">
        <v>17999</v>
      </c>
      <c r="H119">
        <f t="shared" si="1"/>
        <v>4314</v>
      </c>
    </row>
    <row r="120" spans="1:8" ht="14.25" customHeight="1">
      <c r="A120" s="3" t="s">
        <v>41</v>
      </c>
      <c r="B120" s="2" t="s">
        <v>14</v>
      </c>
      <c r="C120" s="2">
        <v>7172</v>
      </c>
      <c r="D120" s="2">
        <v>998</v>
      </c>
      <c r="E120" s="2">
        <v>741416</v>
      </c>
      <c r="F120" s="16">
        <v>18.0667803230575</v>
      </c>
      <c r="G120" s="2">
        <v>32436</v>
      </c>
      <c r="H120">
        <f t="shared" si="1"/>
        <v>6174</v>
      </c>
    </row>
    <row r="121" spans="1:8" ht="14.25" customHeight="1">
      <c r="A121" s="3" t="s">
        <v>41</v>
      </c>
      <c r="B121" s="2" t="s">
        <v>11</v>
      </c>
      <c r="C121" s="2">
        <v>8177</v>
      </c>
      <c r="D121" s="2">
        <v>849</v>
      </c>
      <c r="E121" s="2">
        <v>748744</v>
      </c>
      <c r="F121" s="16">
        <v>10.34986590877523</v>
      </c>
      <c r="G121" s="2">
        <v>52963</v>
      </c>
      <c r="H121">
        <f t="shared" si="1"/>
        <v>7328</v>
      </c>
    </row>
    <row r="122" spans="1:8" ht="14.25" customHeight="1">
      <c r="A122" s="3" t="s">
        <v>42</v>
      </c>
      <c r="B122" s="2" t="s">
        <v>14</v>
      </c>
      <c r="C122" s="2">
        <v>9433</v>
      </c>
      <c r="D122" s="2">
        <v>1233</v>
      </c>
      <c r="E122" s="2">
        <v>756944</v>
      </c>
      <c r="F122" s="16">
        <v>11.391727789638329</v>
      </c>
      <c r="G122" s="2">
        <v>12096</v>
      </c>
      <c r="H122">
        <f t="shared" si="1"/>
        <v>8200</v>
      </c>
    </row>
    <row r="123" spans="1:8" ht="14.25" customHeight="1">
      <c r="A123" s="3" t="s">
        <v>42</v>
      </c>
      <c r="B123" s="2" t="s">
        <v>9</v>
      </c>
      <c r="C123" s="2">
        <v>4897</v>
      </c>
      <c r="D123" s="2">
        <v>683</v>
      </c>
      <c r="E123" s="2">
        <v>761158</v>
      </c>
      <c r="F123" s="16">
        <v>15.06231294947961</v>
      </c>
      <c r="G123" s="2">
        <v>58201</v>
      </c>
      <c r="H123">
        <f t="shared" si="1"/>
        <v>4214</v>
      </c>
    </row>
    <row r="124" spans="1:8" ht="14.25" customHeight="1">
      <c r="A124" s="3" t="s">
        <v>42</v>
      </c>
      <c r="B124" s="2" t="s">
        <v>14</v>
      </c>
      <c r="C124" s="2">
        <v>9123</v>
      </c>
      <c r="D124" s="2">
        <v>746</v>
      </c>
      <c r="E124" s="2">
        <v>769535</v>
      </c>
      <c r="F124" s="16">
        <v>6.3086149427901264</v>
      </c>
      <c r="G124" s="2">
        <v>35279</v>
      </c>
      <c r="H124">
        <f t="shared" si="1"/>
        <v>8377</v>
      </c>
    </row>
    <row r="125" spans="1:8" ht="14.25" customHeight="1">
      <c r="A125" s="3" t="s">
        <v>42</v>
      </c>
      <c r="B125" s="2" t="s">
        <v>10</v>
      </c>
      <c r="C125" s="2">
        <v>3279</v>
      </c>
      <c r="D125" s="2">
        <v>200</v>
      </c>
      <c r="E125" s="2">
        <v>772614</v>
      </c>
      <c r="F125" s="16">
        <v>5.0212654702089274</v>
      </c>
      <c r="G125" s="2">
        <v>53363</v>
      </c>
      <c r="H125">
        <f t="shared" si="1"/>
        <v>3079</v>
      </c>
    </row>
    <row r="126" spans="1:8" ht="14.25" customHeight="1">
      <c r="A126" s="3" t="s">
        <v>43</v>
      </c>
      <c r="B126" s="2" t="s">
        <v>14</v>
      </c>
      <c r="C126" s="2">
        <v>9980</v>
      </c>
      <c r="D126" s="2">
        <v>726</v>
      </c>
      <c r="E126" s="2">
        <v>781868</v>
      </c>
      <c r="F126" s="16">
        <v>4.0220344099003924</v>
      </c>
      <c r="G126" s="2">
        <v>58709</v>
      </c>
      <c r="H126">
        <f t="shared" si="1"/>
        <v>9254</v>
      </c>
    </row>
    <row r="127" spans="1:8" ht="14.25" customHeight="1">
      <c r="A127" s="3" t="s">
        <v>43</v>
      </c>
      <c r="B127" s="2" t="s">
        <v>10</v>
      </c>
      <c r="C127" s="2">
        <v>8451</v>
      </c>
      <c r="D127" s="2">
        <v>783</v>
      </c>
      <c r="E127" s="2">
        <v>789536</v>
      </c>
      <c r="F127" s="16">
        <v>12.407287318121019</v>
      </c>
      <c r="G127" s="2">
        <v>36201</v>
      </c>
      <c r="H127">
        <f t="shared" si="1"/>
        <v>7668</v>
      </c>
    </row>
    <row r="128" spans="1:8" ht="14.25" customHeight="1">
      <c r="A128" s="3" t="s">
        <v>43</v>
      </c>
      <c r="B128" s="2" t="s">
        <v>11</v>
      </c>
      <c r="C128" s="2">
        <v>9906</v>
      </c>
      <c r="D128" s="2">
        <v>1305</v>
      </c>
      <c r="E128" s="2">
        <v>798137</v>
      </c>
      <c r="F128" s="16">
        <v>9.1811305577864442</v>
      </c>
      <c r="G128" s="2">
        <v>29715</v>
      </c>
      <c r="H128">
        <f t="shared" si="1"/>
        <v>8601</v>
      </c>
    </row>
    <row r="129" spans="1:8" ht="14.25" customHeight="1">
      <c r="A129" s="3" t="s">
        <v>43</v>
      </c>
      <c r="B129" s="2" t="s">
        <v>10</v>
      </c>
      <c r="C129" s="2">
        <v>1775</v>
      </c>
      <c r="D129" s="2">
        <v>241</v>
      </c>
      <c r="E129" s="2">
        <v>799671</v>
      </c>
      <c r="F129" s="16">
        <v>8.1379717408784362</v>
      </c>
      <c r="G129" s="2">
        <v>39309</v>
      </c>
      <c r="H129">
        <f t="shared" si="1"/>
        <v>1534</v>
      </c>
    </row>
    <row r="130" spans="1:8" ht="14.25" customHeight="1">
      <c r="A130" s="3" t="s">
        <v>44</v>
      </c>
      <c r="B130" s="2" t="s">
        <v>14</v>
      </c>
      <c r="C130" s="2">
        <v>7869</v>
      </c>
      <c r="D130" s="2">
        <v>398</v>
      </c>
      <c r="E130" s="2">
        <v>807142</v>
      </c>
      <c r="F130" s="16">
        <v>15.211945357818079</v>
      </c>
      <c r="G130" s="2">
        <v>25078</v>
      </c>
      <c r="H130">
        <f t="shared" si="1"/>
        <v>7471</v>
      </c>
    </row>
    <row r="131" spans="1:8" ht="14.25" customHeight="1">
      <c r="A131" s="3" t="s">
        <v>44</v>
      </c>
      <c r="B131" s="2" t="s">
        <v>9</v>
      </c>
      <c r="C131" s="2">
        <v>3247</v>
      </c>
      <c r="D131" s="2">
        <v>328</v>
      </c>
      <c r="E131" s="2">
        <v>810061</v>
      </c>
      <c r="F131" s="16">
        <v>13.941172331466399</v>
      </c>
      <c r="G131" s="2">
        <v>15105</v>
      </c>
      <c r="H131">
        <f t="shared" ref="H131:H194" si="2">C131-D131</f>
        <v>2919</v>
      </c>
    </row>
    <row r="132" spans="1:8" ht="14.25" customHeight="1">
      <c r="A132" s="3" t="s">
        <v>44</v>
      </c>
      <c r="B132" s="2" t="s">
        <v>10</v>
      </c>
      <c r="C132" s="2">
        <v>8088</v>
      </c>
      <c r="D132" s="2">
        <v>742</v>
      </c>
      <c r="E132" s="2">
        <v>817407</v>
      </c>
      <c r="F132" s="16">
        <v>14.664542877660701</v>
      </c>
      <c r="G132" s="2">
        <v>39312</v>
      </c>
      <c r="H132">
        <f t="shared" si="2"/>
        <v>7346</v>
      </c>
    </row>
    <row r="133" spans="1:8" ht="14.25" customHeight="1">
      <c r="A133" s="3" t="s">
        <v>44</v>
      </c>
      <c r="B133" s="2" t="s">
        <v>11</v>
      </c>
      <c r="C133" s="2">
        <v>1078</v>
      </c>
      <c r="D133" s="2">
        <v>77</v>
      </c>
      <c r="E133" s="2">
        <v>818408</v>
      </c>
      <c r="F133" s="16">
        <v>18.236747441373989</v>
      </c>
      <c r="G133" s="2">
        <v>12839</v>
      </c>
      <c r="H133">
        <f t="shared" si="2"/>
        <v>1001</v>
      </c>
    </row>
    <row r="134" spans="1:8" ht="14.25" customHeight="1">
      <c r="A134" s="3" t="s">
        <v>45</v>
      </c>
      <c r="B134" s="2" t="s">
        <v>10</v>
      </c>
      <c r="C134" s="2">
        <v>9080</v>
      </c>
      <c r="D134" s="2">
        <v>562</v>
      </c>
      <c r="E134" s="2">
        <v>826926</v>
      </c>
      <c r="F134" s="16">
        <v>7.1083748727213809</v>
      </c>
      <c r="G134" s="2">
        <v>13384</v>
      </c>
      <c r="H134">
        <f t="shared" si="2"/>
        <v>8518</v>
      </c>
    </row>
    <row r="135" spans="1:8" ht="14.25" customHeight="1">
      <c r="A135" s="3" t="s">
        <v>45</v>
      </c>
      <c r="B135" s="2" t="s">
        <v>10</v>
      </c>
      <c r="C135" s="2">
        <v>8099</v>
      </c>
      <c r="D135" s="2">
        <v>678</v>
      </c>
      <c r="E135" s="2">
        <v>834347</v>
      </c>
      <c r="F135" s="16">
        <v>7.6464588474579518</v>
      </c>
      <c r="G135" s="2">
        <v>53619</v>
      </c>
      <c r="H135">
        <f t="shared" si="2"/>
        <v>7421</v>
      </c>
    </row>
    <row r="136" spans="1:8" ht="14.25" customHeight="1">
      <c r="A136" s="3" t="s">
        <v>45</v>
      </c>
      <c r="B136" s="2" t="s">
        <v>10</v>
      </c>
      <c r="C136" s="2">
        <v>4926</v>
      </c>
      <c r="D136" s="2">
        <v>710</v>
      </c>
      <c r="E136" s="2">
        <v>838563</v>
      </c>
      <c r="F136" s="16">
        <v>12.96217457722318</v>
      </c>
      <c r="G136" s="2">
        <v>52821</v>
      </c>
      <c r="H136">
        <f t="shared" si="2"/>
        <v>4216</v>
      </c>
    </row>
    <row r="137" spans="1:8" ht="14.25" customHeight="1">
      <c r="A137" s="3" t="s">
        <v>45</v>
      </c>
      <c r="B137" s="2" t="s">
        <v>11</v>
      </c>
      <c r="C137" s="2">
        <v>8340</v>
      </c>
      <c r="D137" s="2">
        <v>686</v>
      </c>
      <c r="E137" s="2">
        <v>846217</v>
      </c>
      <c r="F137" s="16">
        <v>7.201344336027284</v>
      </c>
      <c r="G137" s="2">
        <v>23493</v>
      </c>
      <c r="H137">
        <f t="shared" si="2"/>
        <v>7654</v>
      </c>
    </row>
    <row r="138" spans="1:8" ht="14.25" customHeight="1">
      <c r="A138" s="3" t="s">
        <v>46</v>
      </c>
      <c r="B138" s="2" t="s">
        <v>14</v>
      </c>
      <c r="C138" s="2">
        <v>8083</v>
      </c>
      <c r="D138" s="2">
        <v>823</v>
      </c>
      <c r="E138" s="2">
        <v>853477</v>
      </c>
      <c r="F138" s="16">
        <v>4.6300017457998282</v>
      </c>
      <c r="G138" s="2">
        <v>27069</v>
      </c>
      <c r="H138">
        <f t="shared" si="2"/>
        <v>7260</v>
      </c>
    </row>
    <row r="139" spans="1:8" ht="14.25" customHeight="1">
      <c r="A139" s="3" t="s">
        <v>46</v>
      </c>
      <c r="B139" s="2" t="s">
        <v>10</v>
      </c>
      <c r="C139" s="2">
        <v>7230</v>
      </c>
      <c r="D139" s="2">
        <v>869</v>
      </c>
      <c r="E139" s="2">
        <v>859838</v>
      </c>
      <c r="F139" s="16">
        <v>7.0117859410726204</v>
      </c>
      <c r="G139" s="2">
        <v>56907</v>
      </c>
      <c r="H139">
        <f t="shared" si="2"/>
        <v>6361</v>
      </c>
    </row>
    <row r="140" spans="1:8" ht="14.25" customHeight="1">
      <c r="A140" s="3" t="s">
        <v>46</v>
      </c>
      <c r="B140" s="2" t="s">
        <v>10</v>
      </c>
      <c r="C140" s="2">
        <v>5940</v>
      </c>
      <c r="D140" s="2">
        <v>512</v>
      </c>
      <c r="E140" s="2">
        <v>865266</v>
      </c>
      <c r="F140" s="16">
        <v>15.7972230504839</v>
      </c>
      <c r="G140" s="2">
        <v>17531</v>
      </c>
      <c r="H140">
        <f t="shared" si="2"/>
        <v>5428</v>
      </c>
    </row>
    <row r="141" spans="1:8" ht="14.25" customHeight="1">
      <c r="A141" s="3" t="s">
        <v>46</v>
      </c>
      <c r="B141" s="2" t="s">
        <v>9</v>
      </c>
      <c r="C141" s="2">
        <v>4271</v>
      </c>
      <c r="D141" s="2">
        <v>628</v>
      </c>
      <c r="E141" s="2">
        <v>868909</v>
      </c>
      <c r="F141" s="16">
        <v>11.124410036033691</v>
      </c>
      <c r="G141" s="2">
        <v>47051</v>
      </c>
      <c r="H141">
        <f t="shared" si="2"/>
        <v>3643</v>
      </c>
    </row>
    <row r="142" spans="1:8" ht="14.25" customHeight="1">
      <c r="A142" s="3" t="s">
        <v>47</v>
      </c>
      <c r="B142" s="2" t="s">
        <v>11</v>
      </c>
      <c r="C142" s="2">
        <v>4456</v>
      </c>
      <c r="D142" s="2">
        <v>651</v>
      </c>
      <c r="E142" s="2">
        <v>872714</v>
      </c>
      <c r="F142" s="16">
        <v>9.5052903929580594</v>
      </c>
      <c r="G142" s="2">
        <v>17736</v>
      </c>
      <c r="H142">
        <f t="shared" si="2"/>
        <v>3805</v>
      </c>
    </row>
    <row r="143" spans="1:8" ht="14.25" customHeight="1">
      <c r="A143" s="3" t="s">
        <v>47</v>
      </c>
      <c r="B143" s="2" t="s">
        <v>10</v>
      </c>
      <c r="C143" s="2">
        <v>8788</v>
      </c>
      <c r="D143" s="2">
        <v>660</v>
      </c>
      <c r="E143" s="2">
        <v>880842</v>
      </c>
      <c r="F143" s="16">
        <v>3.7175793161543158</v>
      </c>
      <c r="G143" s="2">
        <v>17710</v>
      </c>
      <c r="H143">
        <f t="shared" si="2"/>
        <v>8128</v>
      </c>
    </row>
    <row r="144" spans="1:8" ht="14.25" customHeight="1">
      <c r="A144" s="3" t="s">
        <v>47</v>
      </c>
      <c r="B144" s="2" t="s">
        <v>11</v>
      </c>
      <c r="C144" s="2">
        <v>9599</v>
      </c>
      <c r="D144" s="2">
        <v>957</v>
      </c>
      <c r="E144" s="2">
        <v>889484</v>
      </c>
      <c r="F144" s="16">
        <v>8.768004820772493</v>
      </c>
      <c r="G144" s="2">
        <v>11619</v>
      </c>
      <c r="H144">
        <f t="shared" si="2"/>
        <v>8642</v>
      </c>
    </row>
    <row r="145" spans="1:8" ht="14.25" customHeight="1">
      <c r="A145" s="3" t="s">
        <v>47</v>
      </c>
      <c r="B145" s="2" t="s">
        <v>10</v>
      </c>
      <c r="C145" s="2">
        <v>8650</v>
      </c>
      <c r="D145" s="2">
        <v>692</v>
      </c>
      <c r="E145" s="2">
        <v>897442</v>
      </c>
      <c r="F145" s="16">
        <v>7.6673478620345374</v>
      </c>
      <c r="G145" s="2">
        <v>23975</v>
      </c>
      <c r="H145">
        <f t="shared" si="2"/>
        <v>7958</v>
      </c>
    </row>
    <row r="146" spans="1:8" ht="14.25" customHeight="1">
      <c r="A146" s="3" t="s">
        <v>48</v>
      </c>
      <c r="B146" s="2" t="s">
        <v>14</v>
      </c>
      <c r="C146" s="2">
        <v>3711</v>
      </c>
      <c r="D146" s="2">
        <v>291</v>
      </c>
      <c r="E146" s="2">
        <v>900862</v>
      </c>
      <c r="F146" s="16">
        <v>14.24879726306582</v>
      </c>
      <c r="G146" s="2">
        <v>55603</v>
      </c>
      <c r="H146">
        <f t="shared" si="2"/>
        <v>3420</v>
      </c>
    </row>
    <row r="147" spans="1:8" ht="14.25" customHeight="1">
      <c r="A147" s="3" t="s">
        <v>48</v>
      </c>
      <c r="B147" s="2" t="s">
        <v>14</v>
      </c>
      <c r="C147" s="2">
        <v>2668</v>
      </c>
      <c r="D147" s="2">
        <v>143</v>
      </c>
      <c r="E147" s="2">
        <v>903387</v>
      </c>
      <c r="F147" s="16">
        <v>15.903372530266649</v>
      </c>
      <c r="G147" s="2">
        <v>33252</v>
      </c>
      <c r="H147">
        <f t="shared" si="2"/>
        <v>2525</v>
      </c>
    </row>
    <row r="148" spans="1:8" ht="14.25" customHeight="1">
      <c r="A148" s="3" t="s">
        <v>48</v>
      </c>
      <c r="B148" s="2" t="s">
        <v>10</v>
      </c>
      <c r="C148" s="2">
        <v>1147</v>
      </c>
      <c r="D148" s="2">
        <v>127</v>
      </c>
      <c r="E148" s="2">
        <v>904407</v>
      </c>
      <c r="F148" s="16">
        <v>1.3997016829812241</v>
      </c>
      <c r="G148" s="2">
        <v>25261</v>
      </c>
      <c r="H148">
        <f t="shared" si="2"/>
        <v>1020</v>
      </c>
    </row>
    <row r="149" spans="1:8" ht="14.25" customHeight="1">
      <c r="A149" s="3" t="s">
        <v>48</v>
      </c>
      <c r="B149" s="2" t="s">
        <v>14</v>
      </c>
      <c r="C149" s="2">
        <v>7420</v>
      </c>
      <c r="D149" s="2">
        <v>743</v>
      </c>
      <c r="E149" s="2">
        <v>911084</v>
      </c>
      <c r="F149" s="16">
        <v>10.593534734448189</v>
      </c>
      <c r="G149" s="2">
        <v>11431</v>
      </c>
      <c r="H149">
        <f t="shared" si="2"/>
        <v>6677</v>
      </c>
    </row>
    <row r="150" spans="1:8" ht="14.25" customHeight="1">
      <c r="A150" s="3" t="s">
        <v>49</v>
      </c>
      <c r="B150" s="2" t="s">
        <v>10</v>
      </c>
      <c r="C150" s="2">
        <v>1365</v>
      </c>
      <c r="D150" s="2">
        <v>75</v>
      </c>
      <c r="E150" s="2">
        <v>912374</v>
      </c>
      <c r="F150" s="16">
        <v>9.2688963078737441</v>
      </c>
      <c r="G150" s="2">
        <v>19067</v>
      </c>
      <c r="H150">
        <f t="shared" si="2"/>
        <v>1290</v>
      </c>
    </row>
    <row r="151" spans="1:8" ht="14.25" customHeight="1">
      <c r="A151" s="3" t="s">
        <v>49</v>
      </c>
      <c r="B151" s="2" t="s">
        <v>14</v>
      </c>
      <c r="C151" s="2">
        <v>5531</v>
      </c>
      <c r="D151" s="2">
        <v>430</v>
      </c>
      <c r="E151" s="2">
        <v>917475</v>
      </c>
      <c r="F151" s="16">
        <v>2.7289026948963189</v>
      </c>
      <c r="G151" s="2">
        <v>47481</v>
      </c>
      <c r="H151">
        <f t="shared" si="2"/>
        <v>5101</v>
      </c>
    </row>
    <row r="152" spans="1:8" ht="14.25" customHeight="1">
      <c r="A152" s="3" t="s">
        <v>49</v>
      </c>
      <c r="B152" s="2" t="s">
        <v>9</v>
      </c>
      <c r="C152" s="2">
        <v>6330</v>
      </c>
      <c r="D152" s="2">
        <v>891</v>
      </c>
      <c r="E152" s="2">
        <v>922914</v>
      </c>
      <c r="F152" s="16">
        <v>14.789893749580139</v>
      </c>
      <c r="G152" s="2">
        <v>37037</v>
      </c>
      <c r="H152">
        <f t="shared" si="2"/>
        <v>5439</v>
      </c>
    </row>
    <row r="153" spans="1:8" ht="14.25" customHeight="1">
      <c r="A153" s="3" t="s">
        <v>49</v>
      </c>
      <c r="B153" s="2" t="s">
        <v>9</v>
      </c>
      <c r="C153" s="2">
        <v>6510</v>
      </c>
      <c r="D153" s="2">
        <v>481</v>
      </c>
      <c r="E153" s="2">
        <v>928943</v>
      </c>
      <c r="F153" s="16">
        <v>2.3800168578696428</v>
      </c>
      <c r="G153" s="2">
        <v>19557</v>
      </c>
      <c r="H153">
        <f t="shared" si="2"/>
        <v>6029</v>
      </c>
    </row>
    <row r="154" spans="1:8" ht="14.25" customHeight="1">
      <c r="A154" s="3" t="s">
        <v>50</v>
      </c>
      <c r="B154" s="2" t="s">
        <v>9</v>
      </c>
      <c r="C154" s="2">
        <v>9754</v>
      </c>
      <c r="D154" s="2">
        <v>629</v>
      </c>
      <c r="E154" s="2">
        <v>938068</v>
      </c>
      <c r="F154" s="16">
        <v>3.4123325814333292</v>
      </c>
      <c r="G154" s="2">
        <v>19435</v>
      </c>
      <c r="H154">
        <f t="shared" si="2"/>
        <v>9125</v>
      </c>
    </row>
    <row r="155" spans="1:8" ht="14.25" customHeight="1">
      <c r="A155" s="3" t="s">
        <v>50</v>
      </c>
      <c r="B155" s="2" t="s">
        <v>11</v>
      </c>
      <c r="C155" s="2">
        <v>9964</v>
      </c>
      <c r="D155" s="2">
        <v>985</v>
      </c>
      <c r="E155" s="2">
        <v>947047</v>
      </c>
      <c r="F155" s="16">
        <v>1.9837452629066989</v>
      </c>
      <c r="G155" s="2">
        <v>47766</v>
      </c>
      <c r="H155">
        <f t="shared" si="2"/>
        <v>8979</v>
      </c>
    </row>
    <row r="156" spans="1:8" ht="14.25" customHeight="1">
      <c r="A156" s="3" t="s">
        <v>50</v>
      </c>
      <c r="B156" s="2" t="s">
        <v>11</v>
      </c>
      <c r="C156" s="2">
        <v>7493</v>
      </c>
      <c r="D156" s="2">
        <v>1113</v>
      </c>
      <c r="E156" s="2">
        <v>953427</v>
      </c>
      <c r="F156" s="16">
        <v>15.684892498324469</v>
      </c>
      <c r="G156" s="2">
        <v>10162</v>
      </c>
      <c r="H156">
        <f t="shared" si="2"/>
        <v>6380</v>
      </c>
    </row>
    <row r="157" spans="1:8" ht="14.25" customHeight="1">
      <c r="A157" s="3" t="s">
        <v>50</v>
      </c>
      <c r="B157" s="2" t="s">
        <v>9</v>
      </c>
      <c r="C157" s="2">
        <v>6439</v>
      </c>
      <c r="D157" s="2">
        <v>477</v>
      </c>
      <c r="E157" s="2">
        <v>959389</v>
      </c>
      <c r="F157" s="16">
        <v>7.4744446725989153</v>
      </c>
      <c r="G157" s="2">
        <v>44742</v>
      </c>
      <c r="H157">
        <f t="shared" si="2"/>
        <v>5962</v>
      </c>
    </row>
    <row r="158" spans="1:8" ht="14.25" customHeight="1">
      <c r="A158" s="3" t="s">
        <v>51</v>
      </c>
      <c r="B158" s="2" t="s">
        <v>11</v>
      </c>
      <c r="C158" s="2">
        <v>7511</v>
      </c>
      <c r="D158" s="2">
        <v>880</v>
      </c>
      <c r="E158" s="2">
        <v>966020</v>
      </c>
      <c r="F158" s="16">
        <v>4.6083932009689246</v>
      </c>
      <c r="G158" s="2">
        <v>29675</v>
      </c>
      <c r="H158">
        <f t="shared" si="2"/>
        <v>6631</v>
      </c>
    </row>
    <row r="159" spans="1:8" ht="14.25" customHeight="1">
      <c r="A159" s="3" t="s">
        <v>51</v>
      </c>
      <c r="B159" s="2" t="s">
        <v>14</v>
      </c>
      <c r="C159" s="2">
        <v>8504</v>
      </c>
      <c r="D159" s="2">
        <v>1072</v>
      </c>
      <c r="E159" s="2">
        <v>973452</v>
      </c>
      <c r="F159" s="16">
        <v>6.5651927367759271</v>
      </c>
      <c r="G159" s="2">
        <v>18461</v>
      </c>
      <c r="H159">
        <f t="shared" si="2"/>
        <v>7432</v>
      </c>
    </row>
    <row r="160" spans="1:8" ht="14.25" customHeight="1">
      <c r="A160" s="3" t="s">
        <v>51</v>
      </c>
      <c r="B160" s="2" t="s">
        <v>10</v>
      </c>
      <c r="C160" s="2">
        <v>2246</v>
      </c>
      <c r="D160" s="2">
        <v>165</v>
      </c>
      <c r="E160" s="2">
        <v>975533</v>
      </c>
      <c r="F160" s="16">
        <v>2.9062061457685191</v>
      </c>
      <c r="G160" s="2">
        <v>27015</v>
      </c>
      <c r="H160">
        <f t="shared" si="2"/>
        <v>2081</v>
      </c>
    </row>
    <row r="161" spans="1:8" ht="14.25" customHeight="1">
      <c r="A161" s="3" t="s">
        <v>51</v>
      </c>
      <c r="B161" s="2" t="s">
        <v>10</v>
      </c>
      <c r="C161" s="2">
        <v>4839</v>
      </c>
      <c r="D161" s="2">
        <v>594</v>
      </c>
      <c r="E161" s="2">
        <v>979778</v>
      </c>
      <c r="F161" s="16">
        <v>2.5803804535313102</v>
      </c>
      <c r="G161" s="2">
        <v>42591</v>
      </c>
      <c r="H161">
        <f t="shared" si="2"/>
        <v>4245</v>
      </c>
    </row>
    <row r="162" spans="1:8" ht="14.25" customHeight="1">
      <c r="A162" s="3" t="s">
        <v>52</v>
      </c>
      <c r="B162" s="2" t="s">
        <v>10</v>
      </c>
      <c r="C162" s="2">
        <v>9551</v>
      </c>
      <c r="D162" s="2">
        <v>828</v>
      </c>
      <c r="E162" s="2">
        <v>988501</v>
      </c>
      <c r="F162" s="16">
        <v>1.525036393488727</v>
      </c>
      <c r="G162" s="2">
        <v>38047</v>
      </c>
      <c r="H162">
        <f t="shared" si="2"/>
        <v>8723</v>
      </c>
    </row>
    <row r="163" spans="1:8" ht="14.25" customHeight="1">
      <c r="A163" s="3" t="s">
        <v>52</v>
      </c>
      <c r="B163" s="2" t="s">
        <v>9</v>
      </c>
      <c r="C163" s="2">
        <v>3376</v>
      </c>
      <c r="D163" s="2">
        <v>382</v>
      </c>
      <c r="E163" s="2">
        <v>991495</v>
      </c>
      <c r="F163" s="16">
        <v>3.8694093263203548</v>
      </c>
      <c r="G163" s="2">
        <v>44782</v>
      </c>
      <c r="H163">
        <f t="shared" si="2"/>
        <v>2994</v>
      </c>
    </row>
    <row r="164" spans="1:8" ht="14.25" customHeight="1">
      <c r="A164" s="3" t="s">
        <v>52</v>
      </c>
      <c r="B164" s="2" t="s">
        <v>11</v>
      </c>
      <c r="C164" s="2">
        <v>4009</v>
      </c>
      <c r="D164" s="2">
        <v>454</v>
      </c>
      <c r="E164" s="2">
        <v>995050</v>
      </c>
      <c r="F164" s="16">
        <v>2.1106477061454201</v>
      </c>
      <c r="G164" s="2">
        <v>19833</v>
      </c>
      <c r="H164">
        <f t="shared" si="2"/>
        <v>3555</v>
      </c>
    </row>
    <row r="165" spans="1:8" ht="14.25" customHeight="1">
      <c r="A165" s="3" t="s">
        <v>52</v>
      </c>
      <c r="B165" s="2" t="s">
        <v>14</v>
      </c>
      <c r="C165" s="2">
        <v>2827</v>
      </c>
      <c r="D165" s="2">
        <v>292</v>
      </c>
      <c r="E165" s="2">
        <v>997585</v>
      </c>
      <c r="F165" s="16">
        <v>2.4004972007397871</v>
      </c>
      <c r="G165" s="2">
        <v>17896</v>
      </c>
      <c r="H165">
        <f t="shared" si="2"/>
        <v>2535</v>
      </c>
    </row>
    <row r="166" spans="1:8" ht="14.25" customHeight="1">
      <c r="A166" s="3" t="s">
        <v>53</v>
      </c>
      <c r="B166" s="2" t="s">
        <v>14</v>
      </c>
      <c r="C166" s="2">
        <v>7979</v>
      </c>
      <c r="D166" s="2">
        <v>470</v>
      </c>
      <c r="E166" s="2">
        <v>1005094</v>
      </c>
      <c r="F166" s="16">
        <v>10.43086517280971</v>
      </c>
      <c r="G166" s="2">
        <v>42972</v>
      </c>
      <c r="H166">
        <f t="shared" si="2"/>
        <v>7509</v>
      </c>
    </row>
    <row r="167" spans="1:8" ht="14.25" customHeight="1">
      <c r="A167" s="3" t="s">
        <v>53</v>
      </c>
      <c r="B167" s="2" t="s">
        <v>9</v>
      </c>
      <c r="C167" s="2">
        <v>9569</v>
      </c>
      <c r="D167" s="2">
        <v>1277</v>
      </c>
      <c r="E167" s="2">
        <v>1013386</v>
      </c>
      <c r="F167" s="16">
        <v>12.45517502708741</v>
      </c>
      <c r="G167" s="2">
        <v>59733</v>
      </c>
      <c r="H167">
        <f t="shared" si="2"/>
        <v>8292</v>
      </c>
    </row>
    <row r="168" spans="1:8" ht="14.25" customHeight="1">
      <c r="A168" s="3" t="s">
        <v>53</v>
      </c>
      <c r="B168" s="2" t="s">
        <v>14</v>
      </c>
      <c r="C168" s="2">
        <v>5285</v>
      </c>
      <c r="D168" s="2">
        <v>433</v>
      </c>
      <c r="E168" s="2">
        <v>1018238</v>
      </c>
      <c r="F168" s="16">
        <v>8.7022876773406619</v>
      </c>
      <c r="G168" s="2">
        <v>51800</v>
      </c>
      <c r="H168">
        <f t="shared" si="2"/>
        <v>4852</v>
      </c>
    </row>
    <row r="169" spans="1:8" ht="14.25" customHeight="1">
      <c r="A169" s="3" t="s">
        <v>53</v>
      </c>
      <c r="B169" s="2" t="s">
        <v>14</v>
      </c>
      <c r="C169" s="2">
        <v>7910</v>
      </c>
      <c r="D169" s="2">
        <v>543</v>
      </c>
      <c r="E169" s="2">
        <v>1025605</v>
      </c>
      <c r="F169" s="16">
        <v>6.0590578244060822</v>
      </c>
      <c r="G169" s="2">
        <v>40508</v>
      </c>
      <c r="H169">
        <f t="shared" si="2"/>
        <v>7367</v>
      </c>
    </row>
    <row r="170" spans="1:8" ht="14.25" customHeight="1">
      <c r="A170" s="3" t="s">
        <v>54</v>
      </c>
      <c r="B170" s="2" t="s">
        <v>14</v>
      </c>
      <c r="C170" s="2">
        <v>9561</v>
      </c>
      <c r="D170" s="2">
        <v>517</v>
      </c>
      <c r="E170" s="2">
        <v>1034649</v>
      </c>
      <c r="F170" s="16">
        <v>6.4086467971263694</v>
      </c>
      <c r="G170" s="2">
        <v>15347</v>
      </c>
      <c r="H170">
        <f t="shared" si="2"/>
        <v>9044</v>
      </c>
    </row>
    <row r="171" spans="1:8" ht="14.25" customHeight="1">
      <c r="A171" s="3" t="s">
        <v>54</v>
      </c>
      <c r="B171" s="2" t="s">
        <v>14</v>
      </c>
      <c r="C171" s="2">
        <v>3196</v>
      </c>
      <c r="D171" s="2">
        <v>348</v>
      </c>
      <c r="E171" s="2">
        <v>1037497</v>
      </c>
      <c r="F171" s="16">
        <v>14.03040201562029</v>
      </c>
      <c r="G171" s="2">
        <v>40314</v>
      </c>
      <c r="H171">
        <f t="shared" si="2"/>
        <v>2848</v>
      </c>
    </row>
    <row r="172" spans="1:8" ht="14.25" customHeight="1">
      <c r="A172" s="3" t="s">
        <v>54</v>
      </c>
      <c r="B172" s="2" t="s">
        <v>11</v>
      </c>
      <c r="C172" s="2">
        <v>4747</v>
      </c>
      <c r="D172" s="2">
        <v>558</v>
      </c>
      <c r="E172" s="2">
        <v>1041686</v>
      </c>
      <c r="F172" s="16">
        <v>5.7680529449373434</v>
      </c>
      <c r="G172" s="2">
        <v>12643</v>
      </c>
      <c r="H172">
        <f t="shared" si="2"/>
        <v>4189</v>
      </c>
    </row>
    <row r="173" spans="1:8" ht="14.25" customHeight="1">
      <c r="A173" s="3" t="s">
        <v>54</v>
      </c>
      <c r="B173" s="2" t="s">
        <v>14</v>
      </c>
      <c r="C173" s="2">
        <v>9843</v>
      </c>
      <c r="D173" s="2">
        <v>508</v>
      </c>
      <c r="E173" s="2">
        <v>1051021</v>
      </c>
      <c r="F173" s="16">
        <v>4.2080986012648651</v>
      </c>
      <c r="G173" s="2">
        <v>50785</v>
      </c>
      <c r="H173">
        <f t="shared" si="2"/>
        <v>9335</v>
      </c>
    </row>
    <row r="174" spans="1:8" ht="14.25" customHeight="1">
      <c r="A174" s="3" t="s">
        <v>55</v>
      </c>
      <c r="B174" s="2" t="s">
        <v>10</v>
      </c>
      <c r="C174" s="2">
        <v>6978</v>
      </c>
      <c r="D174" s="2">
        <v>706</v>
      </c>
      <c r="E174" s="2">
        <v>1057293</v>
      </c>
      <c r="F174" s="16">
        <v>5.057443868445171</v>
      </c>
      <c r="G174" s="2">
        <v>28681</v>
      </c>
      <c r="H174">
        <f t="shared" si="2"/>
        <v>6272</v>
      </c>
    </row>
    <row r="175" spans="1:8" ht="14.25" customHeight="1">
      <c r="A175" s="3" t="s">
        <v>55</v>
      </c>
      <c r="B175" s="2" t="s">
        <v>9</v>
      </c>
      <c r="C175" s="2">
        <v>6607</v>
      </c>
      <c r="D175" s="2">
        <v>479</v>
      </c>
      <c r="E175" s="2">
        <v>1063421</v>
      </c>
      <c r="F175" s="16">
        <v>5.5892257158735816</v>
      </c>
      <c r="G175" s="2">
        <v>48328</v>
      </c>
      <c r="H175">
        <f t="shared" si="2"/>
        <v>6128</v>
      </c>
    </row>
    <row r="176" spans="1:8" ht="14.25" customHeight="1">
      <c r="A176" s="3" t="s">
        <v>55</v>
      </c>
      <c r="B176" s="2" t="s">
        <v>11</v>
      </c>
      <c r="C176" s="2">
        <v>1769</v>
      </c>
      <c r="D176" s="2">
        <v>202</v>
      </c>
      <c r="E176" s="2">
        <v>1064988</v>
      </c>
      <c r="F176" s="16">
        <v>6.5457075572682513</v>
      </c>
      <c r="G176" s="2">
        <v>25892</v>
      </c>
      <c r="H176">
        <f t="shared" si="2"/>
        <v>1567</v>
      </c>
    </row>
    <row r="177" spans="1:8" ht="14.25" customHeight="1">
      <c r="A177" s="3" t="s">
        <v>55</v>
      </c>
      <c r="B177" s="2" t="s">
        <v>14</v>
      </c>
      <c r="C177" s="2">
        <v>1780</v>
      </c>
      <c r="D177" s="2">
        <v>120</v>
      </c>
      <c r="E177" s="2">
        <v>1066648</v>
      </c>
      <c r="F177" s="16">
        <v>13.86474263299608</v>
      </c>
      <c r="G177" s="2">
        <v>57299</v>
      </c>
      <c r="H177">
        <f t="shared" si="2"/>
        <v>1660</v>
      </c>
    </row>
    <row r="178" spans="1:8" ht="14.25" customHeight="1">
      <c r="A178" s="3" t="s">
        <v>56</v>
      </c>
      <c r="B178" s="2" t="s">
        <v>11</v>
      </c>
      <c r="C178" s="2">
        <v>7303</v>
      </c>
      <c r="D178" s="2">
        <v>869</v>
      </c>
      <c r="E178" s="2">
        <v>1073082</v>
      </c>
      <c r="F178" s="16">
        <v>8.1237966902808925</v>
      </c>
      <c r="G178" s="2">
        <v>27073</v>
      </c>
      <c r="H178">
        <f t="shared" si="2"/>
        <v>6434</v>
      </c>
    </row>
    <row r="179" spans="1:8" ht="14.25" customHeight="1">
      <c r="A179" s="3" t="s">
        <v>56</v>
      </c>
      <c r="B179" s="2" t="s">
        <v>14</v>
      </c>
      <c r="C179" s="2">
        <v>4983</v>
      </c>
      <c r="D179" s="2">
        <v>441</v>
      </c>
      <c r="E179" s="2">
        <v>1077624</v>
      </c>
      <c r="F179" s="16">
        <v>6.8954477628560609</v>
      </c>
      <c r="G179" s="2">
        <v>46768</v>
      </c>
      <c r="H179">
        <f t="shared" si="2"/>
        <v>4542</v>
      </c>
    </row>
    <row r="180" spans="1:8" ht="14.25" customHeight="1">
      <c r="A180" s="3" t="s">
        <v>56</v>
      </c>
      <c r="B180" s="2" t="s">
        <v>10</v>
      </c>
      <c r="C180" s="2">
        <v>9714</v>
      </c>
      <c r="D180" s="2">
        <v>1395</v>
      </c>
      <c r="E180" s="2">
        <v>1085943</v>
      </c>
      <c r="F180" s="16">
        <v>5.2243073531483697</v>
      </c>
      <c r="G180" s="2">
        <v>40682</v>
      </c>
      <c r="H180">
        <f t="shared" si="2"/>
        <v>8319</v>
      </c>
    </row>
    <row r="181" spans="1:8" ht="14.25" customHeight="1">
      <c r="A181" s="3" t="s">
        <v>56</v>
      </c>
      <c r="B181" s="2" t="s">
        <v>9</v>
      </c>
      <c r="C181" s="2">
        <v>1521</v>
      </c>
      <c r="D181" s="2">
        <v>96</v>
      </c>
      <c r="E181" s="2">
        <v>1087368</v>
      </c>
      <c r="F181" s="16">
        <v>12.709772588488899</v>
      </c>
      <c r="G181" s="2">
        <v>42262</v>
      </c>
      <c r="H181">
        <f t="shared" si="2"/>
        <v>1425</v>
      </c>
    </row>
    <row r="182" spans="1:8" ht="14.25" customHeight="1">
      <c r="A182" s="3" t="s">
        <v>57</v>
      </c>
      <c r="B182" s="2" t="s">
        <v>14</v>
      </c>
      <c r="C182" s="2">
        <v>8569</v>
      </c>
      <c r="D182" s="2">
        <v>720</v>
      </c>
      <c r="E182" s="2">
        <v>1095217</v>
      </c>
      <c r="F182" s="16">
        <v>9.589697749395782</v>
      </c>
      <c r="G182" s="2">
        <v>41358</v>
      </c>
      <c r="H182">
        <f t="shared" si="2"/>
        <v>7849</v>
      </c>
    </row>
    <row r="183" spans="1:8" ht="14.25" customHeight="1">
      <c r="A183" s="3" t="s">
        <v>57</v>
      </c>
      <c r="B183" s="2" t="s">
        <v>14</v>
      </c>
      <c r="C183" s="2">
        <v>6784</v>
      </c>
      <c r="D183" s="2">
        <v>416</v>
      </c>
      <c r="E183" s="2">
        <v>1101585</v>
      </c>
      <c r="F183" s="16">
        <v>9.3041390360253633</v>
      </c>
      <c r="G183" s="2">
        <v>24289</v>
      </c>
      <c r="H183">
        <f t="shared" si="2"/>
        <v>6368</v>
      </c>
    </row>
    <row r="184" spans="1:8" ht="14.25" customHeight="1">
      <c r="A184" s="3" t="s">
        <v>57</v>
      </c>
      <c r="B184" s="2" t="s">
        <v>14</v>
      </c>
      <c r="C184" s="2">
        <v>5583</v>
      </c>
      <c r="D184" s="2">
        <v>795</v>
      </c>
      <c r="E184" s="2">
        <v>1106373</v>
      </c>
      <c r="F184" s="16">
        <v>12.21550055903389</v>
      </c>
      <c r="G184" s="2">
        <v>59823</v>
      </c>
      <c r="H184">
        <f t="shared" si="2"/>
        <v>4788</v>
      </c>
    </row>
    <row r="185" spans="1:8" ht="14.25" customHeight="1">
      <c r="A185" s="3" t="s">
        <v>57</v>
      </c>
      <c r="B185" s="2" t="s">
        <v>14</v>
      </c>
      <c r="C185" s="2">
        <v>6946</v>
      </c>
      <c r="D185" s="2">
        <v>956</v>
      </c>
      <c r="E185" s="2">
        <v>1112363</v>
      </c>
      <c r="F185" s="16">
        <v>1.64146056637986</v>
      </c>
      <c r="G185" s="2">
        <v>17927</v>
      </c>
      <c r="H185">
        <f t="shared" si="2"/>
        <v>5990</v>
      </c>
    </row>
    <row r="186" spans="1:8" ht="14.25" customHeight="1">
      <c r="A186" s="3" t="s">
        <v>58</v>
      </c>
      <c r="B186" s="2" t="s">
        <v>9</v>
      </c>
      <c r="C186" s="2">
        <v>5941</v>
      </c>
      <c r="D186" s="2">
        <v>450</v>
      </c>
      <c r="E186" s="2">
        <v>1117854</v>
      </c>
      <c r="F186" s="16">
        <v>12.414411899944</v>
      </c>
      <c r="G186" s="2">
        <v>58330</v>
      </c>
      <c r="H186">
        <f t="shared" si="2"/>
        <v>5491</v>
      </c>
    </row>
    <row r="187" spans="1:8" ht="14.25" customHeight="1">
      <c r="A187" s="3" t="s">
        <v>58</v>
      </c>
      <c r="B187" s="2" t="s">
        <v>9</v>
      </c>
      <c r="C187" s="2">
        <v>7267</v>
      </c>
      <c r="D187" s="2">
        <v>842</v>
      </c>
      <c r="E187" s="2">
        <v>1124279</v>
      </c>
      <c r="F187" s="16">
        <v>2.2102165031989389</v>
      </c>
      <c r="G187" s="2">
        <v>11171</v>
      </c>
      <c r="H187">
        <f t="shared" si="2"/>
        <v>6425</v>
      </c>
    </row>
    <row r="188" spans="1:8" ht="14.25" customHeight="1">
      <c r="A188" s="3" t="s">
        <v>58</v>
      </c>
      <c r="B188" s="2" t="s">
        <v>10</v>
      </c>
      <c r="C188" s="2">
        <v>8128</v>
      </c>
      <c r="D188" s="2">
        <v>1070</v>
      </c>
      <c r="E188" s="2">
        <v>1131337</v>
      </c>
      <c r="F188" s="16">
        <v>8.1114645768679008</v>
      </c>
      <c r="G188" s="2">
        <v>21918</v>
      </c>
      <c r="H188">
        <f t="shared" si="2"/>
        <v>7058</v>
      </c>
    </row>
    <row r="189" spans="1:8" ht="14.25" customHeight="1">
      <c r="A189" s="3" t="s">
        <v>58</v>
      </c>
      <c r="B189" s="2" t="s">
        <v>9</v>
      </c>
      <c r="C189" s="2">
        <v>3461</v>
      </c>
      <c r="D189" s="2">
        <v>365</v>
      </c>
      <c r="E189" s="2">
        <v>1134433</v>
      </c>
      <c r="F189" s="16">
        <v>10.23489267325616</v>
      </c>
      <c r="G189" s="2">
        <v>51903</v>
      </c>
      <c r="H189">
        <f t="shared" si="2"/>
        <v>3096</v>
      </c>
    </row>
    <row r="190" spans="1:8" ht="14.25" customHeight="1">
      <c r="A190" s="3" t="s">
        <v>59</v>
      </c>
      <c r="B190" s="2" t="s">
        <v>14</v>
      </c>
      <c r="C190" s="2">
        <v>1685</v>
      </c>
      <c r="D190" s="2">
        <v>173</v>
      </c>
      <c r="E190" s="2">
        <v>1135945</v>
      </c>
      <c r="F190" s="16">
        <v>8.7776256772995165</v>
      </c>
      <c r="G190" s="2">
        <v>49110</v>
      </c>
      <c r="H190">
        <f t="shared" si="2"/>
        <v>1512</v>
      </c>
    </row>
    <row r="191" spans="1:8" ht="14.25" customHeight="1">
      <c r="A191" s="3" t="s">
        <v>59</v>
      </c>
      <c r="B191" s="2" t="s">
        <v>10</v>
      </c>
      <c r="C191" s="2">
        <v>3160</v>
      </c>
      <c r="D191" s="2">
        <v>234</v>
      </c>
      <c r="E191" s="2">
        <v>1138871</v>
      </c>
      <c r="F191" s="16">
        <v>5.6959041015180816</v>
      </c>
      <c r="G191" s="2">
        <v>21929</v>
      </c>
      <c r="H191">
        <f t="shared" si="2"/>
        <v>2926</v>
      </c>
    </row>
    <row r="192" spans="1:8" ht="14.25" customHeight="1">
      <c r="A192" s="3" t="s">
        <v>59</v>
      </c>
      <c r="B192" s="2" t="s">
        <v>10</v>
      </c>
      <c r="C192" s="2">
        <v>8031</v>
      </c>
      <c r="D192" s="2">
        <v>476</v>
      </c>
      <c r="E192" s="2">
        <v>1146426</v>
      </c>
      <c r="F192" s="16">
        <v>11.940413075069831</v>
      </c>
      <c r="G192" s="2">
        <v>12539</v>
      </c>
      <c r="H192">
        <f t="shared" si="2"/>
        <v>7555</v>
      </c>
    </row>
    <row r="193" spans="1:8" ht="14.25" customHeight="1">
      <c r="A193" s="3" t="s">
        <v>59</v>
      </c>
      <c r="B193" s="2" t="s">
        <v>10</v>
      </c>
      <c r="C193" s="2">
        <v>6341</v>
      </c>
      <c r="D193" s="2">
        <v>885</v>
      </c>
      <c r="E193" s="2">
        <v>1151882</v>
      </c>
      <c r="F193" s="16">
        <v>6.3457020771224837</v>
      </c>
      <c r="G193" s="2">
        <v>46727</v>
      </c>
      <c r="H193">
        <f t="shared" si="2"/>
        <v>5456</v>
      </c>
    </row>
    <row r="194" spans="1:8" ht="14.25" customHeight="1">
      <c r="A194" s="3" t="s">
        <v>60</v>
      </c>
      <c r="B194" s="2" t="s">
        <v>14</v>
      </c>
      <c r="C194" s="2">
        <v>1038</v>
      </c>
      <c r="D194" s="2">
        <v>145</v>
      </c>
      <c r="E194" s="2">
        <v>1152775</v>
      </c>
      <c r="F194" s="16">
        <v>11.093752033137431</v>
      </c>
      <c r="G194" s="2">
        <v>55951</v>
      </c>
      <c r="H194">
        <f t="shared" si="2"/>
        <v>893</v>
      </c>
    </row>
    <row r="195" spans="1:8" ht="14.25" customHeight="1">
      <c r="A195" s="3" t="s">
        <v>60</v>
      </c>
      <c r="B195" s="2" t="s">
        <v>11</v>
      </c>
      <c r="C195" s="2">
        <v>5875</v>
      </c>
      <c r="D195" s="2">
        <v>665</v>
      </c>
      <c r="E195" s="2">
        <v>1157985</v>
      </c>
      <c r="F195" s="16">
        <v>6.9871371390821126</v>
      </c>
      <c r="G195" s="2">
        <v>32669</v>
      </c>
      <c r="H195">
        <f t="shared" ref="H195:H201" si="3">C195-D195</f>
        <v>5210</v>
      </c>
    </row>
    <row r="196" spans="1:8" ht="14.25" customHeight="1">
      <c r="A196" s="3" t="s">
        <v>60</v>
      </c>
      <c r="B196" s="2" t="s">
        <v>14</v>
      </c>
      <c r="C196" s="2">
        <v>2256</v>
      </c>
      <c r="D196" s="2">
        <v>189</v>
      </c>
      <c r="E196" s="2">
        <v>1160052</v>
      </c>
      <c r="F196" s="16">
        <v>2.8935771844710412</v>
      </c>
      <c r="G196" s="2">
        <v>15432</v>
      </c>
      <c r="H196">
        <f t="shared" si="3"/>
        <v>2067</v>
      </c>
    </row>
    <row r="197" spans="1:8" ht="14.25" customHeight="1">
      <c r="A197" s="3" t="s">
        <v>60</v>
      </c>
      <c r="B197" s="2" t="s">
        <v>9</v>
      </c>
      <c r="C197" s="2">
        <v>8697</v>
      </c>
      <c r="D197" s="2">
        <v>738</v>
      </c>
      <c r="E197" s="2">
        <v>1168011</v>
      </c>
      <c r="F197" s="16">
        <v>3.8777032065622672</v>
      </c>
      <c r="G197" s="2">
        <v>30644</v>
      </c>
      <c r="H197">
        <f t="shared" si="3"/>
        <v>7959</v>
      </c>
    </row>
    <row r="198" spans="1:8" ht="14.25" customHeight="1">
      <c r="A198" s="3" t="s">
        <v>61</v>
      </c>
      <c r="B198" s="2" t="s">
        <v>9</v>
      </c>
      <c r="C198" s="2">
        <v>3196</v>
      </c>
      <c r="D198" s="2">
        <v>391</v>
      </c>
      <c r="E198" s="2">
        <v>1170816</v>
      </c>
      <c r="F198" s="16">
        <v>7.2439221876024931</v>
      </c>
      <c r="G198" s="2">
        <v>28745</v>
      </c>
      <c r="H198">
        <f t="shared" si="3"/>
        <v>2805</v>
      </c>
    </row>
    <row r="199" spans="1:8" ht="14.25" customHeight="1">
      <c r="A199" s="3" t="s">
        <v>61</v>
      </c>
      <c r="B199" s="2" t="s">
        <v>14</v>
      </c>
      <c r="C199" s="2">
        <v>8165</v>
      </c>
      <c r="D199" s="2">
        <v>1140</v>
      </c>
      <c r="E199" s="2">
        <v>1177841</v>
      </c>
      <c r="F199" s="16">
        <v>9.095964565675672</v>
      </c>
      <c r="G199" s="2">
        <v>38228</v>
      </c>
      <c r="H199">
        <f t="shared" si="3"/>
        <v>7025</v>
      </c>
    </row>
    <row r="200" spans="1:8" ht="14.25" customHeight="1">
      <c r="A200" s="3" t="s">
        <v>61</v>
      </c>
      <c r="B200" s="2" t="s">
        <v>14</v>
      </c>
      <c r="C200" s="2">
        <v>1301</v>
      </c>
      <c r="D200" s="2">
        <v>180</v>
      </c>
      <c r="E200" s="2">
        <v>1178962</v>
      </c>
      <c r="F200" s="16">
        <v>5.2275645864752214</v>
      </c>
      <c r="G200" s="2">
        <v>44521</v>
      </c>
      <c r="H200">
        <f t="shared" si="3"/>
        <v>1121</v>
      </c>
    </row>
    <row r="201" spans="1:8" ht="14.25" customHeight="1">
      <c r="A201" s="3" t="s">
        <v>61</v>
      </c>
      <c r="B201" s="2" t="s">
        <v>10</v>
      </c>
      <c r="C201" s="2">
        <v>8527</v>
      </c>
      <c r="D201" s="2">
        <v>1091</v>
      </c>
      <c r="E201" s="2">
        <v>1186398</v>
      </c>
      <c r="F201" s="16">
        <v>1.676081719625286</v>
      </c>
      <c r="G201" s="2">
        <v>41703</v>
      </c>
      <c r="H201">
        <f t="shared" si="3"/>
        <v>7436</v>
      </c>
    </row>
    <row r="202" spans="1:8" ht="14.25" customHeight="1">
      <c r="A202" s="3"/>
    </row>
    <row r="203" spans="1:8" ht="14.25" customHeight="1">
      <c r="A203" s="3"/>
    </row>
    <row r="204" spans="1:8" ht="14.25" customHeight="1">
      <c r="A204" s="3"/>
    </row>
    <row r="205" spans="1:8" ht="14.25" customHeight="1">
      <c r="A205" s="3"/>
    </row>
    <row r="206" spans="1:8" ht="14.25" customHeight="1">
      <c r="A206" s="3"/>
    </row>
    <row r="207" spans="1:8" ht="14.25" customHeight="1">
      <c r="A207" s="3"/>
    </row>
    <row r="208" spans="1:8" ht="14.25" customHeight="1">
      <c r="A208" s="3"/>
    </row>
    <row r="209" spans="1:1" ht="14.25" customHeight="1">
      <c r="A209" s="3"/>
    </row>
    <row r="210" spans="1:1" ht="14.25" customHeight="1">
      <c r="A210" s="3"/>
    </row>
    <row r="211" spans="1:1" ht="14.25" customHeight="1">
      <c r="A211" s="3"/>
    </row>
    <row r="212" spans="1:1" ht="14.25" customHeight="1">
      <c r="A212" s="3"/>
    </row>
    <row r="213" spans="1:1" ht="14.25" customHeight="1">
      <c r="A213" s="3"/>
    </row>
    <row r="214" spans="1:1" ht="14.25" customHeight="1">
      <c r="A214" s="3"/>
    </row>
    <row r="215" spans="1:1" ht="14.25" customHeight="1">
      <c r="A215" s="3"/>
    </row>
    <row r="216" spans="1:1" ht="14.25" customHeight="1">
      <c r="A216" s="3"/>
    </row>
    <row r="217" spans="1:1" ht="14.25" customHeight="1">
      <c r="A217" s="3"/>
    </row>
    <row r="218" spans="1:1" ht="14.25" customHeight="1">
      <c r="A218" s="3"/>
    </row>
    <row r="219" spans="1:1" ht="14.25" customHeight="1">
      <c r="A219" s="3"/>
    </row>
    <row r="220" spans="1:1" ht="14.25" customHeight="1">
      <c r="A220" s="3"/>
    </row>
    <row r="221" spans="1:1" ht="14.25" customHeight="1">
      <c r="A221" s="3"/>
    </row>
    <row r="222" spans="1:1" ht="14.25" customHeight="1">
      <c r="A222" s="3"/>
    </row>
    <row r="223" spans="1:1" ht="14.25" customHeight="1">
      <c r="A223" s="3"/>
    </row>
    <row r="224" spans="1:1" ht="14.25" customHeight="1">
      <c r="A224" s="3"/>
    </row>
    <row r="225" spans="1:1" ht="14.25" customHeight="1">
      <c r="A225" s="3"/>
    </row>
    <row r="226" spans="1:1" ht="14.25" customHeight="1">
      <c r="A226" s="3"/>
    </row>
    <row r="227" spans="1:1" ht="14.25" customHeight="1">
      <c r="A227" s="3"/>
    </row>
    <row r="228" spans="1:1" ht="14.25" customHeight="1">
      <c r="A228" s="3"/>
    </row>
    <row r="229" spans="1:1" ht="14.25" customHeight="1">
      <c r="A229" s="3"/>
    </row>
    <row r="230" spans="1:1" ht="14.25" customHeight="1">
      <c r="A230" s="3"/>
    </row>
    <row r="231" spans="1:1" ht="14.25" customHeight="1">
      <c r="A231" s="3"/>
    </row>
    <row r="232" spans="1:1" ht="14.25" customHeight="1">
      <c r="A232" s="3"/>
    </row>
    <row r="233" spans="1:1" ht="14.25" customHeight="1">
      <c r="A233" s="3"/>
    </row>
    <row r="234" spans="1:1" ht="14.25" customHeight="1">
      <c r="A234" s="3"/>
    </row>
    <row r="235" spans="1:1" ht="14.25" customHeight="1">
      <c r="A235" s="4"/>
    </row>
    <row r="236" spans="1:1" ht="14.25" customHeight="1">
      <c r="A236" s="4"/>
    </row>
    <row r="237" spans="1:1" ht="14.25" customHeight="1">
      <c r="A237" s="4"/>
    </row>
    <row r="238" spans="1:1" ht="14.25" customHeight="1">
      <c r="A238" s="4"/>
    </row>
    <row r="239" spans="1:1" ht="14.25" customHeight="1">
      <c r="A239" s="4"/>
    </row>
    <row r="240" spans="1:1" ht="14.25" customHeight="1">
      <c r="A240" s="4"/>
    </row>
    <row r="241" spans="1:1" ht="14.25" customHeight="1">
      <c r="A241" s="4"/>
    </row>
    <row r="242" spans="1:1" ht="14.25" customHeight="1">
      <c r="A242" s="4"/>
    </row>
    <row r="243" spans="1:1" ht="14.25" customHeight="1">
      <c r="A243" s="4"/>
    </row>
    <row r="244" spans="1:1" ht="14.25" customHeight="1">
      <c r="A244" s="4"/>
    </row>
    <row r="245" spans="1:1" ht="14.25" customHeight="1">
      <c r="A245" s="4"/>
    </row>
    <row r="246" spans="1:1" ht="14.25" customHeight="1">
      <c r="A246" s="4"/>
    </row>
    <row r="247" spans="1:1" ht="14.25" customHeight="1">
      <c r="A247" s="4"/>
    </row>
    <row r="248" spans="1:1" ht="14.25" customHeight="1">
      <c r="A248" s="4"/>
    </row>
    <row r="249" spans="1:1" ht="14.25" customHeight="1">
      <c r="A249" s="4"/>
    </row>
    <row r="250" spans="1:1" ht="14.25" customHeight="1">
      <c r="A250" s="4"/>
    </row>
    <row r="251" spans="1:1" ht="14.25" customHeight="1">
      <c r="A251" s="4"/>
    </row>
    <row r="252" spans="1:1" ht="14.25" customHeight="1"/>
    <row r="253" spans="1:1" ht="14.25" customHeight="1"/>
    <row r="254" spans="1:1" ht="14.25" customHeight="1"/>
    <row r="255" spans="1:1" ht="14.25" customHeight="1"/>
    <row r="256" spans="1:1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4FDB-9E4F-453F-9C9A-039957D88CB6}">
  <dimension ref="A1:G34"/>
  <sheetViews>
    <sheetView tabSelected="1" workbookViewId="0">
      <selection activeCell="M2" sqref="M2"/>
    </sheetView>
  </sheetViews>
  <sheetFormatPr defaultRowHeight="15"/>
  <cols>
    <col min="1" max="1" width="11.85546875" bestFit="1" customWidth="1"/>
    <col min="2" max="2" width="36.5703125" bestFit="1" customWidth="1"/>
    <col min="3" max="3" width="27.140625" bestFit="1" customWidth="1"/>
    <col min="6" max="6" width="9.5703125" customWidth="1"/>
    <col min="7" max="7" width="36.5703125" bestFit="1" customWidth="1"/>
  </cols>
  <sheetData>
    <row r="1" spans="1:7" ht="18.75">
      <c r="G1" s="11" t="s">
        <v>62</v>
      </c>
    </row>
    <row r="2" spans="1:7" ht="15.75">
      <c r="B2" s="10" t="s">
        <v>63</v>
      </c>
      <c r="C2" s="12"/>
    </row>
    <row r="3" spans="1:7">
      <c r="A3" s="6" t="s">
        <v>1</v>
      </c>
      <c r="B3" t="s">
        <v>64</v>
      </c>
      <c r="C3" t="s">
        <v>65</v>
      </c>
    </row>
    <row r="4" spans="1:7">
      <c r="A4" t="s">
        <v>9</v>
      </c>
      <c r="B4" s="7">
        <v>261862</v>
      </c>
      <c r="C4" s="8">
        <v>15.559291798886182</v>
      </c>
    </row>
    <row r="5" spans="1:7">
      <c r="A5" t="s">
        <v>14</v>
      </c>
      <c r="B5" s="7">
        <v>290487</v>
      </c>
      <c r="C5" s="8">
        <v>14.067998324800023</v>
      </c>
    </row>
    <row r="6" spans="1:7">
      <c r="A6" t="s">
        <v>10</v>
      </c>
      <c r="B6" s="7">
        <v>303407</v>
      </c>
      <c r="C6" s="8">
        <v>17.480513118999934</v>
      </c>
    </row>
    <row r="7" spans="1:7">
      <c r="A7" t="s">
        <v>11</v>
      </c>
      <c r="B7" s="7">
        <v>230642</v>
      </c>
      <c r="C7" s="8">
        <v>17.599262914182141</v>
      </c>
    </row>
    <row r="8" spans="1:7">
      <c r="A8" t="s">
        <v>66</v>
      </c>
      <c r="B8" s="7">
        <v>1086398</v>
      </c>
      <c r="C8" s="8">
        <v>16.076503821978303</v>
      </c>
    </row>
    <row r="11" spans="1:7" ht="18.75">
      <c r="B11" s="11" t="s">
        <v>67</v>
      </c>
    </row>
    <row r="16" spans="1:7" ht="17.25" customHeight="1"/>
    <row r="17" spans="1:7" ht="24" customHeight="1">
      <c r="B17" s="11"/>
      <c r="G17" s="15" t="s">
        <v>68</v>
      </c>
    </row>
    <row r="18" spans="1:7">
      <c r="G18" s="14" t="s">
        <v>69</v>
      </c>
    </row>
    <row r="19" spans="1:7">
      <c r="G19" s="14" t="s">
        <v>70</v>
      </c>
    </row>
    <row r="23" spans="1:7" ht="18">
      <c r="G23" s="13" t="s">
        <v>71</v>
      </c>
    </row>
    <row r="24" spans="1:7">
      <c r="G24" s="14" t="s">
        <v>72</v>
      </c>
    </row>
    <row r="25" spans="1:7">
      <c r="B25" s="9"/>
      <c r="G25" s="14" t="s">
        <v>73</v>
      </c>
    </row>
    <row r="26" spans="1:7">
      <c r="A26" s="14" t="s">
        <v>74</v>
      </c>
      <c r="G26" s="14"/>
    </row>
    <row r="27" spans="1:7">
      <c r="A27" s="14" t="s">
        <v>75</v>
      </c>
      <c r="G27" s="14" t="s">
        <v>76</v>
      </c>
    </row>
    <row r="28" spans="1:7">
      <c r="G28" s="14" t="s">
        <v>77</v>
      </c>
    </row>
    <row r="29" spans="1:7">
      <c r="G29" s="14" t="s">
        <v>78</v>
      </c>
    </row>
    <row r="30" spans="1:7">
      <c r="G30" s="14"/>
    </row>
    <row r="31" spans="1:7">
      <c r="G31" s="14"/>
    </row>
    <row r="32" spans="1:7">
      <c r="G32" s="14"/>
    </row>
    <row r="33" spans="2:2">
      <c r="B33" s="14"/>
    </row>
    <row r="34" spans="2:2">
      <c r="B34" s="14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2026-04-30T11:09:55Z</dcterms:created>
  <dcterms:modified xsi:type="dcterms:W3CDTF">2026-04-30T14:00:48Z</dcterms:modified>
  <cp:category/>
  <cp:contentStatus/>
</cp:coreProperties>
</file>