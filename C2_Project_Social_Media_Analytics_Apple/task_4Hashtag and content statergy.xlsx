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/>
  <xr:revisionPtr revIDLastSave="0" documentId="8_{6364FDF5-CB2B-46E4-ABB8-2614900E91C1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Raw Posts data" sheetId="1" r:id="rId1"/>
    <sheet name="working sheet" sheetId="2" r:id="rId2"/>
    <sheet name="Hashtag frequency" sheetId="3" r:id="rId3"/>
    <sheet name="Hashtag performance" sheetId="5" r:id="rId4"/>
    <sheet name="Content analysis" sheetId="6" r:id="rId5"/>
  </sheets>
  <definedNames>
    <definedName name="_xlnm._FilterDatabase" localSheetId="0" hidden="1">'Raw Posts data'!$A$1:$M$301</definedName>
  </definedNames>
  <calcPr calcId="191028"/>
  <pivotCaches>
    <pivotCache cacheId="3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2" i="2"/>
</calcChain>
</file>

<file path=xl/sharedStrings.xml><?xml version="1.0" encoding="utf-8"?>
<sst xmlns="http://schemas.openxmlformats.org/spreadsheetml/2006/main" count="4079" uniqueCount="549">
  <si>
    <t>aa</t>
  </si>
  <si>
    <t>Platform</t>
  </si>
  <si>
    <t>Date</t>
  </si>
  <si>
    <t>ContentType</t>
  </si>
  <si>
    <t>Hashtag_1</t>
  </si>
  <si>
    <t>Hashtag_2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</si>
  <si>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</si>
  <si>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</si>
  <si>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</si>
  <si>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</si>
  <si>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</si>
  <si>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</si>
  <si>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</si>
  <si>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</si>
  <si>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</si>
  <si>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</si>
  <si>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</si>
  <si>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</si>
  <si>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</si>
  <si>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</si>
  <si>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</si>
  <si>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</si>
  <si>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</si>
  <si>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</si>
  <si>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</si>
  <si>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A3</t>
  </si>
  <si>
    <t>Instagram</t>
  </si>
  <si>
    <t>2025-05-12</t>
  </si>
  <si>
    <t>Tweet</t>
  </si>
  <si>
    <t>#AppleDesign</t>
  </si>
  <si>
    <t>#Innovation</t>
  </si>
  <si>
    <t>Sustainability Awareness Drive</t>
  </si>
  <si>
    <t>A4</t>
  </si>
  <si>
    <t>2024-08-12</t>
  </si>
  <si>
    <t>Video</t>
  </si>
  <si>
    <t>#AppleEvent</t>
  </si>
  <si>
    <t>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</si>
  <si>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</si>
  <si>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</si>
  <si>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</si>
  <si>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</si>
  <si>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</si>
  <si>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</si>
  <si>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</si>
  <si>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</t>
  </si>
  <si>
    <t>#AppleLifestyle</t>
  </si>
  <si>
    <t>A8</t>
  </si>
  <si>
    <t>2024-07-13</t>
  </si>
  <si>
    <t>#AppleWatch</t>
  </si>
  <si>
    <t>#Health</t>
  </si>
  <si>
    <t>A9</t>
  </si>
  <si>
    <t>2024-08-30</t>
  </si>
  <si>
    <t>A10</t>
  </si>
  <si>
    <t>Twitter</t>
  </si>
  <si>
    <t>2025-03-11</t>
  </si>
  <si>
    <t>#iPhone16Launch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</si>
  <si>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</si>
  <si>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</si>
  <si>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</si>
  <si>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</si>
  <si>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</si>
  <si>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</si>
  <si>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</si>
  <si>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</si>
  <si>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</si>
  <si>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</si>
  <si>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</si>
  <si>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</si>
  <si>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</si>
  <si>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</si>
  <si>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</si>
  <si>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</si>
  <si>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</si>
  <si>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</si>
  <si>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</si>
  <si>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</si>
  <si>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</si>
  <si>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</si>
  <si>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</si>
  <si>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</si>
  <si>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</si>
  <si>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</si>
  <si>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</si>
  <si>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</si>
  <si>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</si>
  <si>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</si>
  <si>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</si>
  <si>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</si>
  <si>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</si>
  <si>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</si>
  <si>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</si>
  <si>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</si>
  <si>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</si>
  <si>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</si>
  <si>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</si>
  <si>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</si>
  <si>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</si>
  <si>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</si>
  <si>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</si>
  <si>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</si>
  <si>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</si>
  <si>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</si>
  <si>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</si>
  <si>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</si>
  <si>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</si>
  <si>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</si>
  <si>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</si>
  <si>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</si>
  <si>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</si>
  <si>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</si>
  <si>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</si>
  <si>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</si>
  <si>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</si>
  <si>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</si>
  <si>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</si>
  <si>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</si>
  <si>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</si>
  <si>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</si>
  <si>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</si>
  <si>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</si>
  <si>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</si>
  <si>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</si>
  <si>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</si>
  <si>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</si>
  <si>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</si>
  <si>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</si>
  <si>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</si>
  <si>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</si>
  <si>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</si>
  <si>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</si>
  <si>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</si>
  <si>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</si>
  <si>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</si>
  <si>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</si>
  <si>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</si>
  <si>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</si>
  <si>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</si>
  <si>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</si>
  <si>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</si>
  <si>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</si>
  <si>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</si>
  <si>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</si>
  <si>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</si>
  <si>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</si>
  <si>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</si>
  <si>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</si>
  <si>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</si>
  <si>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</si>
  <si>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</si>
  <si>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</si>
  <si>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</si>
  <si>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</si>
  <si>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</si>
  <si>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</si>
  <si>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</si>
  <si>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</si>
  <si>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</si>
  <si>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</si>
  <si>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</si>
  <si>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</si>
  <si>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</si>
  <si>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</si>
  <si>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</si>
  <si>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</si>
  <si>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</si>
  <si>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</si>
  <si>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</si>
  <si>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</si>
  <si>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</si>
  <si>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</si>
  <si>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</si>
  <si>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</si>
  <si>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</si>
  <si>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</si>
  <si>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</si>
  <si>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</si>
  <si>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</t>
  </si>
  <si>
    <t>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</si>
  <si>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</si>
  <si>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</si>
  <si>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</si>
  <si>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</si>
  <si>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</si>
  <si>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</si>
  <si>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</si>
  <si>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</si>
  <si>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</si>
  <si>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</si>
  <si>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</si>
  <si>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</si>
  <si>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</si>
  <si>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</si>
  <si>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</si>
  <si>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</si>
  <si>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</si>
  <si>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</si>
  <si>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</si>
  <si>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</si>
  <si>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</si>
  <si>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</si>
  <si>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</si>
  <si>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</si>
  <si>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</si>
  <si>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</si>
  <si>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</si>
  <si>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</si>
  <si>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</si>
  <si>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</si>
  <si>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</si>
  <si>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</si>
  <si>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</si>
  <si>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</si>
  <si>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</si>
  <si>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</si>
  <si>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</si>
  <si>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</si>
  <si>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</si>
  <si>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</si>
  <si>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</si>
  <si>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</si>
  <si>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</si>
  <si>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</si>
  <si>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</si>
  <si>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</si>
  <si>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</si>
  <si>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</si>
  <si>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</si>
  <si>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</si>
  <si>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</si>
  <si>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</si>
  <si>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</si>
  <si>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</si>
  <si>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</si>
  <si>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</si>
  <si>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</si>
  <si>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</si>
  <si>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</si>
  <si>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</si>
  <si>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</si>
  <si>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</si>
  <si>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</si>
  <si>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</si>
  <si>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</si>
  <si>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</si>
  <si>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</si>
  <si>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</si>
  <si>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</si>
  <si>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</si>
  <si>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</si>
  <si>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</si>
  <si>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</si>
  <si>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</si>
  <si>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</si>
  <si>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</si>
  <si>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</si>
  <si>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</si>
  <si>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</si>
  <si>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</si>
  <si>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</si>
  <si>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</si>
  <si>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</si>
  <si>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</si>
  <si>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</si>
  <si>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</si>
  <si>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</si>
  <si>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</si>
  <si>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</si>
  <si>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</si>
  <si>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</si>
  <si>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</si>
  <si>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</si>
  <si>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</si>
  <si>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</si>
  <si>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</si>
  <si>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</si>
  <si>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</si>
  <si>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</si>
  <si>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</si>
  <si>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</si>
  <si>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</si>
  <si>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</si>
  <si>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</si>
  <si>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</si>
  <si>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</si>
  <si>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</si>
  <si>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</si>
  <si>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</si>
  <si>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</si>
  <si>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</si>
  <si>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</si>
  <si>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</si>
  <si>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</si>
  <si>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</si>
  <si>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</si>
  <si>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</si>
  <si>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</si>
  <si>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</si>
  <si>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</si>
  <si>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</si>
  <si>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</si>
  <si>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</si>
  <si>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</si>
  <si>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</si>
  <si>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</si>
  <si>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</si>
  <si>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</si>
  <si>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</si>
  <si>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</si>
  <si>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</si>
  <si>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</si>
  <si>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</si>
  <si>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</si>
  <si>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</si>
  <si>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</si>
  <si>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</si>
  <si>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</si>
  <si>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</si>
  <si>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</si>
  <si>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</si>
  <si>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</si>
  <si>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</si>
  <si>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</si>
  <si>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</si>
  <si>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</si>
  <si>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</si>
  <si>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</si>
  <si>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</si>
  <si>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</si>
  <si>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</si>
  <si>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</si>
  <si>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</si>
  <si>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</si>
  <si>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</si>
  <si>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</si>
  <si>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</si>
  <si>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</si>
  <si>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</si>
  <si>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</si>
  <si>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</si>
  <si>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</si>
  <si>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</si>
  <si>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</si>
  <si>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</si>
  <si>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</si>
  <si>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</si>
  <si>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</si>
  <si>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</si>
  <si>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</si>
  <si>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</si>
  <si>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</si>
  <si>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</si>
  <si>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</si>
  <si>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</si>
  <si>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</si>
  <si>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</si>
  <si>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</si>
  <si>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</si>
  <si>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</si>
  <si>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</si>
  <si>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</si>
  <si>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</si>
  <si>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</si>
  <si>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</si>
  <si>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</si>
  <si>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</si>
  <si>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</si>
  <si>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</si>
  <si>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</si>
  <si>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</si>
  <si>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</si>
  <si>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</si>
  <si>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</si>
  <si>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</si>
  <si>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</si>
  <si>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</si>
  <si>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</si>
  <si>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</si>
  <si>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</si>
  <si>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</si>
  <si>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</si>
  <si>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</si>
  <si>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</si>
  <si>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</si>
  <si>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</si>
  <si>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</si>
  <si>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</si>
  <si>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</si>
  <si>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</si>
  <si>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</si>
  <si>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</si>
  <si>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</si>
  <si>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</si>
  <si>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</si>
  <si>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</si>
  <si>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</si>
  <si>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</si>
  <si>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</si>
  <si>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</si>
  <si>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</si>
  <si>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</si>
  <si>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</si>
  <si>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</si>
  <si>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</si>
  <si>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</si>
  <si>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</si>
  <si>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</si>
  <si>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</si>
  <si>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</si>
  <si>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</si>
  <si>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</si>
  <si>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</si>
  <si>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</si>
  <si>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</si>
  <si>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</si>
  <si>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</si>
  <si>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</si>
  <si>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</si>
  <si>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</si>
  <si>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</si>
  <si>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</si>
  <si>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</si>
  <si>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</si>
  <si>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</si>
  <si>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</si>
  <si>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</si>
  <si>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</si>
  <si>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</si>
  <si>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</si>
  <si>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</si>
  <si>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</si>
  <si>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</si>
  <si>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</si>
  <si>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</si>
  <si>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</si>
  <si>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</si>
  <si>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</si>
  <si>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</si>
  <si>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</si>
  <si>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</si>
  <si>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</si>
  <si>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</si>
  <si>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</si>
  <si>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</si>
  <si>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</si>
  <si>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</si>
  <si>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</si>
  <si>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</si>
  <si>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</si>
  <si>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</si>
  <si>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</si>
  <si>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</si>
  <si>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</si>
  <si>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</si>
  <si>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</si>
  <si>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</si>
  <si>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</si>
  <si>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</si>
  <si>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</si>
  <si>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</si>
  <si>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</si>
  <si>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</si>
  <si>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</si>
  <si>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</si>
  <si>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</si>
  <si>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</si>
  <si>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</si>
  <si>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</si>
  <si>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</si>
  <si>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</si>
  <si>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</si>
  <si>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</si>
  <si>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</si>
  <si>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</si>
  <si>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</si>
  <si>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</si>
  <si>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</si>
  <si>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</si>
  <si>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</si>
  <si>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</si>
  <si>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</si>
  <si>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</si>
  <si>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</si>
  <si>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</si>
  <si>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</si>
  <si>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</si>
  <si>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</si>
  <si>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</si>
  <si>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</si>
  <si>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</si>
  <si>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</si>
  <si>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</si>
  <si>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</si>
  <si>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</si>
  <si>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</si>
  <si>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</si>
  <si>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</si>
  <si>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</si>
  <si>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</si>
  <si>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</si>
  <si>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</si>
  <si>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</si>
  <si>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</si>
  <si>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</si>
  <si>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</si>
  <si>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</si>
  <si>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</si>
  <si>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</si>
  <si>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</si>
  <si>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</si>
  <si>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</si>
  <si>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</si>
  <si>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</si>
  <si>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PostID</t>
  </si>
  <si>
    <t>Hashtags</t>
  </si>
  <si>
    <t>Final hashtags</t>
  </si>
  <si>
    <t>Most Used Hashtags Table</t>
  </si>
  <si>
    <t>Grand Total</t>
  </si>
  <si>
    <t>Count of Final hashtags</t>
  </si>
  <si>
    <t>Hashtag Usage Chart</t>
  </si>
  <si>
    <t>1.#AppleEvent has more count than other hashtags.</t>
  </si>
  <si>
    <t>2.The most frequently used Apple hashtags are #AppleEvent and #AppleWatch, indicating strong focus on product launches.</t>
  </si>
  <si>
    <t>3.most lowest use of hashtag is #sustainability</t>
  </si>
  <si>
    <t>Hashtag Performance Table</t>
  </si>
  <si>
    <t>Hashtag Performance Chart</t>
  </si>
  <si>
    <t>Average of Shares</t>
  </si>
  <si>
    <t>Average of Likes</t>
  </si>
  <si>
    <t>Average of Comments</t>
  </si>
  <si>
    <t>#AppleDesign#Innovation</t>
  </si>
  <si>
    <t>#AppleEvent#iPadPro</t>
  </si>
  <si>
    <t>#AppleEvent#iPhone16</t>
  </si>
  <si>
    <t>#AppleMusic#AppleLifestyle</t>
  </si>
  <si>
    <t>#AppleWatch#Health</t>
  </si>
  <si>
    <t>#AppleWatchUltra2#HealthTech</t>
  </si>
  <si>
    <t>#iPhone16Launch#AppleEvent</t>
  </si>
  <si>
    <t>#iPhonePhotography#ShotOniPhone</t>
  </si>
  <si>
    <t>#MacBookAirM3#AppleInnovation</t>
  </si>
  <si>
    <t>#Sustainability#AppleEarth</t>
  </si>
  <si>
    <t>1.Highest average likes is on #iPhone16Launch#AppleEvent as compered to others likes.</t>
  </si>
  <si>
    <t>2.Highest average shares is on #AppleWatchUltra2#HealthTech as compared to others shares.</t>
  </si>
  <si>
    <t>3.Highest average comments is on #Sustainability#AppleEarth as compared to others comments.</t>
  </si>
  <si>
    <t>4.Although #iPhone16Launch#AppleEvent is used frequently,  generates higher average engagement, making it more effective.</t>
  </si>
  <si>
    <t>Content Type Analysis Table</t>
  </si>
  <si>
    <t>Content Type Performance Chart</t>
  </si>
  <si>
    <t>Sum of Likes</t>
  </si>
  <si>
    <t>Sum of Shares</t>
  </si>
  <si>
    <t>Sum of Comments</t>
  </si>
  <si>
    <r>
      <rPr>
        <b/>
        <u/>
        <sz val="16"/>
        <color rgb="FF000000"/>
        <rFont val="Calibri"/>
        <scheme val="minor"/>
      </rPr>
      <t>Reccomandation</t>
    </r>
    <r>
      <rPr>
        <u/>
        <sz val="16"/>
        <color rgb="FF000000"/>
        <rFont val="Calibri"/>
        <scheme val="minor"/>
      </rPr>
      <t>: 1.carosuel and video having best performance as compared to image.</t>
    </r>
  </si>
  <si>
    <t xml:space="preserve"> 2. So it is better to focus more on video and carosuel.</t>
  </si>
  <si>
    <t xml:space="preserve">3. Image can be used as a supporte content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</si>
</sst>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yyyy\-m\-d"/>
  </numFmts>
  <fonts count="1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2"/>
      <color theme="1"/>
      <name val="Calibri"/>
      <scheme val="minor"/>
    </font>
    <font>
      <sz val="12"/>
      <color theme="1"/>
      <name val="Calibri"/>
      <scheme val="minor"/>
    </font>
    <font>
      <u/>
      <sz val="14"/>
      <color theme="1"/>
      <name val="Calibri"/>
      <scheme val="minor"/>
    </font>
    <font>
      <sz val="14"/>
      <color theme="1"/>
      <name val="Calibri"/>
      <scheme val="minor"/>
    </font>
    <font>
      <u/>
      <sz val="16"/>
      <color theme="1"/>
      <name val="Calibri"/>
      <scheme val="minor"/>
    </font>
    <font>
      <sz val="16"/>
      <color theme="1"/>
      <name val="Calibri"/>
      <scheme val="minor"/>
    </font>
    <font>
      <b/>
      <sz val="14"/>
      <color theme="1"/>
      <name val="Calibri"/>
      <scheme val="minor"/>
    </font>
    <font>
      <b/>
      <sz val="12"/>
      <color theme="1"/>
      <name val="Calibri"/>
      <scheme val="minor"/>
    </font>
    <font>
      <b/>
      <u/>
      <sz val="16"/>
      <color rgb="FF000000"/>
      <name val="Calibri"/>
      <scheme val="minor"/>
    </font>
    <font>
      <u/>
      <sz val="16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3" fillId="0" borderId="3" xfId="0" applyFont="1" applyBorder="1" applyAlignment="1">
      <alignment wrapText="1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1" fontId="2" fillId="0" borderId="0" xfId="0" applyNumberFormat="1" applyFont="1" applyAlignment="1">
      <alignment vertical="center"/>
    </xf>
    <xf numFmtId="1" fontId="3" fillId="0" borderId="3" xfId="0" applyNumberFormat="1" applyFont="1" applyBorder="1" applyAlignment="1">
      <alignment vertical="center" wrapText="1"/>
    </xf>
    <xf numFmtId="0" fontId="0" fillId="0" borderId="0" xfId="0" pivotButton="1" applyFont="1" applyAlignment="1"/>
    <xf numFmtId="0" fontId="0" fillId="0" borderId="0" xfId="0" applyNumberFormat="1" applyFont="1" applyAlignment="1"/>
    <xf numFmtId="1" fontId="0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6" fillId="0" borderId="0" xfId="0" applyFont="1" applyAlignment="1">
      <alignment wrapText="1"/>
    </xf>
    <xf numFmtId="0" fontId="10" fillId="0" borderId="0" xfId="0" applyFont="1" applyAlignment="1"/>
    <xf numFmtId="0" fontId="11" fillId="0" borderId="0" xfId="0" applyFont="1" applyAlignment="1"/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[task_4Hashtag and content statergy.xlsx]Hashtag frequency!PivotTable2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'Hashtag frequency'!$B$3:$B$4</c:f>
              <c:strCache>
                <c:ptCount val="1"/>
                <c:pt idx="0">
                  <c:v>#AppleEvent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'Hashtag frequency'!$A$5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'Hashtag frequency'!$B$5</c:f>
              <c:numCache>
                <c:formatCode>General</c:formatCode>
                <c:ptCount val="1"/>
                <c:pt idx="0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FA-4960-962F-A791BE3F5406}"/>
            </c:ext>
          </c:extLst>
        </c:ser>
        <c:ser>
          <c:idx val="1"/>
          <c:order val="1"/>
          <c:tx>
            <c:strRef>
              <c:f>'Hashtag frequency'!$C$3:$C$4</c:f>
              <c:strCache>
                <c:ptCount val="1"/>
                <c:pt idx="0">
                  <c:v>#AppleWatch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'Hashtag frequency'!$A$5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'Hashtag frequency'!$C$5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FA-4960-962F-A791BE3F5406}"/>
            </c:ext>
          </c:extLst>
        </c:ser>
        <c:ser>
          <c:idx val="2"/>
          <c:order val="2"/>
          <c:tx>
            <c:strRef>
              <c:f>'Hashtag frequency'!$D$3:$D$4</c:f>
              <c:strCache>
                <c:ptCount val="1"/>
                <c:pt idx="0">
                  <c:v>#AppleMusic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'Hashtag frequency'!$A$5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'Hashtag frequency'!$D$5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FA-4960-962F-A791BE3F5406}"/>
            </c:ext>
          </c:extLst>
        </c:ser>
        <c:ser>
          <c:idx val="3"/>
          <c:order val="3"/>
          <c:tx>
            <c:strRef>
              <c:f>'Hashtag frequency'!$E$3:$E$4</c:f>
              <c:strCache>
                <c:ptCount val="1"/>
                <c:pt idx="0">
                  <c:v>#iPhone16Launch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'Hashtag frequency'!$A$5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'Hashtag frequency'!$E$5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FA-4960-962F-A791BE3F5406}"/>
            </c:ext>
          </c:extLst>
        </c:ser>
        <c:ser>
          <c:idx val="4"/>
          <c:order val="4"/>
          <c:tx>
            <c:strRef>
              <c:f>'Hashtag frequency'!$F$3:$F$4</c:f>
              <c:strCache>
                <c:ptCount val="1"/>
                <c:pt idx="0">
                  <c:v>#MacBookAirM3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'Hashtag frequency'!$A$5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'Hashtag frequency'!$F$5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FA-4960-962F-A791BE3F5406}"/>
            </c:ext>
          </c:extLst>
        </c:ser>
        <c:ser>
          <c:idx val="5"/>
          <c:order val="5"/>
          <c:tx>
            <c:strRef>
              <c:f>'Hashtag frequency'!$G$3:$G$4</c:f>
              <c:strCache>
                <c:ptCount val="1"/>
                <c:pt idx="0">
                  <c:v>#iPhonePhotography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'Hashtag frequency'!$A$5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'Hashtag frequency'!$G$5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5FA-4960-962F-A791BE3F5406}"/>
            </c:ext>
          </c:extLst>
        </c:ser>
        <c:ser>
          <c:idx val="6"/>
          <c:order val="6"/>
          <c:tx>
            <c:strRef>
              <c:f>'Hashtag frequency'!$H$3:$H$4</c:f>
              <c:strCache>
                <c:ptCount val="1"/>
                <c:pt idx="0">
                  <c:v>#AppleDesign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'Hashtag frequency'!$A$5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'Hashtag frequency'!$H$5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5FA-4960-962F-A791BE3F5406}"/>
            </c:ext>
          </c:extLst>
        </c:ser>
        <c:ser>
          <c:idx val="7"/>
          <c:order val="7"/>
          <c:tx>
            <c:strRef>
              <c:f>'Hashtag frequency'!$I$3:$I$4</c:f>
              <c:strCache>
                <c:ptCount val="1"/>
                <c:pt idx="0">
                  <c:v>#AppleWatchUltra2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'Hashtag frequency'!$A$5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'Hashtag frequency'!$I$5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5FA-4960-962F-A791BE3F5406}"/>
            </c:ext>
          </c:extLst>
        </c:ser>
        <c:ser>
          <c:idx val="8"/>
          <c:order val="8"/>
          <c:tx>
            <c:strRef>
              <c:f>'Hashtag frequency'!$J$3:$J$4</c:f>
              <c:strCache>
                <c:ptCount val="1"/>
                <c:pt idx="0">
                  <c:v>#MacBookProM3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'Hashtag frequency'!$A$5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'Hashtag frequency'!$J$5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5FA-4960-962F-A791BE3F5406}"/>
            </c:ext>
          </c:extLst>
        </c:ser>
        <c:ser>
          <c:idx val="9"/>
          <c:order val="9"/>
          <c:tx>
            <c:strRef>
              <c:f>'Hashtag frequency'!$K$3:$K$4</c:f>
              <c:strCache>
                <c:ptCount val="1"/>
                <c:pt idx="0">
                  <c:v>#ShotOniPhone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'Hashtag frequency'!$A$5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'Hashtag frequency'!$K$5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5FA-4960-962F-A791BE3F5406}"/>
            </c:ext>
          </c:extLst>
        </c:ser>
        <c:ser>
          <c:idx val="10"/>
          <c:order val="10"/>
          <c:tx>
            <c:strRef>
              <c:f>'Hashtag frequency'!$L$3:$L$4</c:f>
              <c:strCache>
                <c:ptCount val="1"/>
                <c:pt idx="0">
                  <c:v>#Sustainability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'Hashtag frequency'!$A$5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'Hashtag frequency'!$L$5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5FA-4960-962F-A791BE3F5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70792"/>
        <c:axId val="122872840"/>
      </c:barChart>
      <c:catAx>
        <c:axId val="12287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2840"/>
        <c:crosses val="autoZero"/>
        <c:auto val="1"/>
        <c:lblAlgn val="ctr"/>
        <c:lblOffset val="100"/>
        <c:noMultiLvlLbl val="0"/>
      </c:catAx>
      <c:valAx>
        <c:axId val="12287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[task_4Hashtag and content statergy.xlsx]Hashtag performance!PivotTable4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'Hashtag performance'!$B$3</c:f>
              <c:strCache>
                <c:ptCount val="1"/>
                <c:pt idx="0">
                  <c:v>Average of Shares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'Hashtag performance'!$A$4:$A$16</c:f>
              <c:strCache>
                <c:ptCount val="12"/>
                <c:pt idx="0">
                  <c:v>#AppleDesign#Innovation</c:v>
                </c:pt>
                <c:pt idx="1">
                  <c:v>#AppleEvent#iPadPro</c:v>
                </c:pt>
                <c:pt idx="2">
                  <c:v>#AppleEvent#iPhone16</c:v>
                </c:pt>
                <c:pt idx="3">
                  <c:v>#AppleMusic#AppleLifestyle</c:v>
                </c:pt>
                <c:pt idx="4">
                  <c:v>#AppleWatch#Health</c:v>
                </c:pt>
                <c:pt idx="5">
                  <c:v>#AppleWatchUltra2#HealthTech</c:v>
                </c:pt>
                <c:pt idx="6">
                  <c:v>#iPhone16Launch#AppleEvent</c:v>
                </c:pt>
                <c:pt idx="7">
                  <c:v>#iPhonePhotography#ShotOniPhone</c:v>
                </c:pt>
                <c:pt idx="8">
                  <c:v>#MacBookAirM3#AppleInnovation</c:v>
                </c:pt>
                <c:pt idx="9">
                  <c:v>#MacBookProM3</c:v>
                </c:pt>
                <c:pt idx="10">
                  <c:v>#ShotOniPhone</c:v>
                </c:pt>
                <c:pt idx="11">
                  <c:v>#Sustainability#AppleEarth</c:v>
                </c:pt>
              </c:strCache>
            </c:strRef>
          </c:cat>
          <c:val>
            <c:numRef>
              <c:f>'Hashtag performance'!$B$4:$B$16</c:f>
              <c:numCache>
                <c:formatCode>0</c:formatCode>
                <c:ptCount val="12"/>
                <c:pt idx="0">
                  <c:v>892.8</c:v>
                </c:pt>
                <c:pt idx="1">
                  <c:v>900.36842105263156</c:v>
                </c:pt>
                <c:pt idx="2">
                  <c:v>869.34375</c:v>
                </c:pt>
                <c:pt idx="3">
                  <c:v>875.88235294117646</c:v>
                </c:pt>
                <c:pt idx="4">
                  <c:v>880.54054054054052</c:v>
                </c:pt>
                <c:pt idx="5">
                  <c:v>980.64</c:v>
                </c:pt>
                <c:pt idx="6">
                  <c:v>803.65517241379314</c:v>
                </c:pt>
                <c:pt idx="7">
                  <c:v>802.2</c:v>
                </c:pt>
                <c:pt idx="8">
                  <c:v>901.46428571428567</c:v>
                </c:pt>
                <c:pt idx="9">
                  <c:v>814.35294117647061</c:v>
                </c:pt>
                <c:pt idx="10">
                  <c:v>806.5625</c:v>
                </c:pt>
                <c:pt idx="11">
                  <c:v>908.69230769230774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F6-4A89-B087-021B45E6B882}"/>
            </c:ext>
          </c:extLst>
        </c:ser>
        <c:ser>
          <c:idx val="1"/>
          <c:order val="1"/>
          <c:tx>
            <c:strRef>
              <c:f>'Hashtag performance'!$C$3</c:f>
              <c:strCache>
                <c:ptCount val="1"/>
                <c:pt idx="0">
                  <c:v>Average of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'Hashtag performance'!$A$4:$A$16</c:f>
              <c:strCache>
                <c:ptCount val="12"/>
                <c:pt idx="0">
                  <c:v>#AppleDesign#Innovation</c:v>
                </c:pt>
                <c:pt idx="1">
                  <c:v>#AppleEvent#iPadPro</c:v>
                </c:pt>
                <c:pt idx="2">
                  <c:v>#AppleEvent#iPhone16</c:v>
                </c:pt>
                <c:pt idx="3">
                  <c:v>#AppleMusic#AppleLifestyle</c:v>
                </c:pt>
                <c:pt idx="4">
                  <c:v>#AppleWatch#Health</c:v>
                </c:pt>
                <c:pt idx="5">
                  <c:v>#AppleWatchUltra2#HealthTech</c:v>
                </c:pt>
                <c:pt idx="6">
                  <c:v>#iPhone16Launch#AppleEvent</c:v>
                </c:pt>
                <c:pt idx="7">
                  <c:v>#iPhonePhotography#ShotOniPhone</c:v>
                </c:pt>
                <c:pt idx="8">
                  <c:v>#MacBookAirM3#AppleInnovation</c:v>
                </c:pt>
                <c:pt idx="9">
                  <c:v>#MacBookProM3</c:v>
                </c:pt>
                <c:pt idx="10">
                  <c:v>#ShotOniPhone</c:v>
                </c:pt>
                <c:pt idx="11">
                  <c:v>#Sustainability#AppleEarth</c:v>
                </c:pt>
              </c:strCache>
            </c:strRef>
          </c:cat>
          <c:val>
            <c:numRef>
              <c:f>'Hashtag performance'!$C$4:$C$16</c:f>
              <c:numCache>
                <c:formatCode>0</c:formatCode>
                <c:ptCount val="12"/>
                <c:pt idx="0">
                  <c:v>13327.8</c:v>
                </c:pt>
                <c:pt idx="1">
                  <c:v>12987</c:v>
                </c:pt>
                <c:pt idx="2">
                  <c:v>14262.09375</c:v>
                </c:pt>
                <c:pt idx="3">
                  <c:v>13437.176470588236</c:v>
                </c:pt>
                <c:pt idx="4">
                  <c:v>13986.108108108108</c:v>
                </c:pt>
                <c:pt idx="5">
                  <c:v>13057.88</c:v>
                </c:pt>
                <c:pt idx="6">
                  <c:v>15420.51724137931</c:v>
                </c:pt>
                <c:pt idx="7">
                  <c:v>13856.76</c:v>
                </c:pt>
                <c:pt idx="8">
                  <c:v>13015.321428571429</c:v>
                </c:pt>
                <c:pt idx="9">
                  <c:v>12777.235294117647</c:v>
                </c:pt>
                <c:pt idx="10">
                  <c:v>14377.6875</c:v>
                </c:pt>
                <c:pt idx="11">
                  <c:v>9616.3076923076915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F6-4A89-B087-021B45E6B882}"/>
            </c:ext>
          </c:extLst>
        </c:ser>
        <c:ser>
          <c:idx val="2"/>
          <c:order val="2"/>
          <c:tx>
            <c:strRef>
              <c:f>'Hashtag performance'!$D$3</c:f>
              <c:strCache>
                <c:ptCount val="1"/>
                <c:pt idx="0">
                  <c:v>Average of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'Hashtag performance'!$A$4:$A$16</c:f>
              <c:strCache>
                <c:ptCount val="12"/>
                <c:pt idx="0">
                  <c:v>#AppleDesign#Innovation</c:v>
                </c:pt>
                <c:pt idx="1">
                  <c:v>#AppleEvent#iPadPro</c:v>
                </c:pt>
                <c:pt idx="2">
                  <c:v>#AppleEvent#iPhone16</c:v>
                </c:pt>
                <c:pt idx="3">
                  <c:v>#AppleMusic#AppleLifestyle</c:v>
                </c:pt>
                <c:pt idx="4">
                  <c:v>#AppleWatch#Health</c:v>
                </c:pt>
                <c:pt idx="5">
                  <c:v>#AppleWatchUltra2#HealthTech</c:v>
                </c:pt>
                <c:pt idx="6">
                  <c:v>#iPhone16Launch#AppleEvent</c:v>
                </c:pt>
                <c:pt idx="7">
                  <c:v>#iPhonePhotography#ShotOniPhone</c:v>
                </c:pt>
                <c:pt idx="8">
                  <c:v>#MacBookAirM3#AppleInnovation</c:v>
                </c:pt>
                <c:pt idx="9">
                  <c:v>#MacBookProM3</c:v>
                </c:pt>
                <c:pt idx="10">
                  <c:v>#ShotOniPhone</c:v>
                </c:pt>
                <c:pt idx="11">
                  <c:v>#Sustainability#AppleEarth</c:v>
                </c:pt>
              </c:strCache>
            </c:strRef>
          </c:cat>
          <c:val>
            <c:numRef>
              <c:f>'Hashtag performance'!$D$4:$D$16</c:f>
              <c:numCache>
                <c:formatCode>0</c:formatCode>
                <c:ptCount val="12"/>
                <c:pt idx="0">
                  <c:v>637.55999999999995</c:v>
                </c:pt>
                <c:pt idx="1">
                  <c:v>535.68421052631584</c:v>
                </c:pt>
                <c:pt idx="2">
                  <c:v>567.59375</c:v>
                </c:pt>
                <c:pt idx="3">
                  <c:v>584.76470588235293</c:v>
                </c:pt>
                <c:pt idx="4">
                  <c:v>576.91891891891896</c:v>
                </c:pt>
                <c:pt idx="5">
                  <c:v>560.12</c:v>
                </c:pt>
                <c:pt idx="6">
                  <c:v>541.13793103448279</c:v>
                </c:pt>
                <c:pt idx="7">
                  <c:v>562.12</c:v>
                </c:pt>
                <c:pt idx="8">
                  <c:v>531.75</c:v>
                </c:pt>
                <c:pt idx="9">
                  <c:v>626.05882352941171</c:v>
                </c:pt>
                <c:pt idx="10">
                  <c:v>574.875</c:v>
                </c:pt>
                <c:pt idx="11">
                  <c:v>646.23076923076928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F6-4A89-B087-021B45E6B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058183"/>
        <c:axId val="1203078151"/>
      </c:barChart>
      <c:catAx>
        <c:axId val="1203058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78151"/>
        <c:crosses val="autoZero"/>
        <c:auto val="1"/>
        <c:lblAlgn val="ctr"/>
        <c:lblOffset val="100"/>
        <c:noMultiLvlLbl val="0"/>
      </c:catAx>
      <c:valAx>
        <c:axId val="1203078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58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[task_4Hashtag and content statergy.xlsx]Content analysis!PivotTable5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'Content analysis'!$B$3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'Content analysis'!$A$4:$A$7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</c:strCache>
            </c:strRef>
          </c:cat>
          <c:val>
            <c:numRef>
              <c:f>'Content analysis'!$B$4:$B$7</c:f>
              <c:numCache>
                <c:formatCode>0</c:formatCode>
                <c:ptCount val="3"/>
                <c:pt idx="0">
                  <c:v>1199672</c:v>
                </c:pt>
                <c:pt idx="1">
                  <c:v>891508</c:v>
                </c:pt>
                <c:pt idx="2">
                  <c:v>1054188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7F-48B8-B0B4-E530DDA94D37}"/>
            </c:ext>
          </c:extLst>
        </c:ser>
        <c:ser>
          <c:idx val="1"/>
          <c:order val="1"/>
          <c:tx>
            <c:strRef>
              <c:f>'Content analysis'!$C$3</c:f>
              <c:strCache>
                <c:ptCount val="1"/>
                <c:pt idx="0">
                  <c:v>Sum of Shares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'Content analysis'!$A$4:$A$7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</c:strCache>
            </c:strRef>
          </c:cat>
          <c:val>
            <c:numRef>
              <c:f>'Content analysis'!$C$4:$C$7</c:f>
              <c:numCache>
                <c:formatCode>0</c:formatCode>
                <c:ptCount val="3"/>
                <c:pt idx="0">
                  <c:v>81330</c:v>
                </c:pt>
                <c:pt idx="1">
                  <c:v>57094</c:v>
                </c:pt>
                <c:pt idx="2">
                  <c:v>60151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7F-48B8-B0B4-E530DDA94D37}"/>
            </c:ext>
          </c:extLst>
        </c:ser>
        <c:ser>
          <c:idx val="2"/>
          <c:order val="2"/>
          <c:tx>
            <c:strRef>
              <c:f>'Content analysis'!$D$3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'Content analysis'!$A$4:$A$7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</c:strCache>
            </c:strRef>
          </c:cat>
          <c:val>
            <c:numRef>
              <c:f>'Content analysis'!$D$4:$D$7</c:f>
              <c:numCache>
                <c:formatCode>0</c:formatCode>
                <c:ptCount val="3"/>
                <c:pt idx="0">
                  <c:v>54382</c:v>
                </c:pt>
                <c:pt idx="1">
                  <c:v>39063</c:v>
                </c:pt>
                <c:pt idx="2">
                  <c:v>41373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37F-48B8-B0B4-E530DDA94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685768"/>
        <c:axId val="1405687816"/>
      </c:barChart>
      <c:catAx>
        <c:axId val="1405685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687816"/>
        <c:crosses val="autoZero"/>
        <c:auto val="1"/>
        <c:lblAlgn val="ctr"/>
        <c:lblOffset val="100"/>
        <c:noMultiLvlLbl val="0"/>
      </c:catAx>
      <c:valAx>
        <c:axId val="140568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68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10</xdr:row>
      <xdr:rowOff>95250</xdr:rowOff>
    </xdr:from>
    <xdr:to>
      <xdr:col>6</xdr:col>
      <xdr:colOff>38100</xdr:colOff>
      <xdr:row>26</xdr:row>
      <xdr:rowOff>209550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03AAAA-0B99-28F5-7A59-E4EF7860A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2</xdr:row>
      <xdr:rowOff>0</xdr:rowOff>
    </xdr:from>
    <xdr:to>
      <xdr:col>13</xdr:col>
      <xdr:colOff>542925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D7FE6-184C-1D6C-342B-C6FA6095F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2</xdr:row>
      <xdr:rowOff>38100</xdr:rowOff>
    </xdr:from>
    <xdr:to>
      <xdr:col>14</xdr:col>
      <xdr:colOff>47625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022B7-AB7E-2E13-4D51-20FE92B8E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2.853936805557" createdVersion="8" refreshedVersion="8" minRefreshableVersion="3" recordCount="300" xr:uid="{4AC11661-1C29-498D-9668-E3485D743A28}">
  <cacheSource type="worksheet">
    <worksheetSource ref="A1:O301" sheet="working sheet"/>
  </cacheSource>
  <cacheFields count="15">
    <cacheField name="PostID" numFmtId="0">
      <sharedItems/>
    </cacheField>
    <cacheField name="Platform" numFmtId="0">
      <sharedItems/>
    </cacheField>
    <cacheField name="Date" numFmtId="0">
      <sharedItems containsDate="1" containsMixedTypes="1" minDate="2025-09-03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 count="12">
        <s v="#AppleWatchUltra2#HealthTech"/>
        <s v="#MacBookAirM3#AppleInnovation"/>
        <s v="#AppleDesign#Innovation"/>
        <s v="#AppleEvent#iPadPro"/>
        <s v="#ShotOniPhone"/>
        <s v="#AppleMusic#AppleLifestyle"/>
        <s v="#AppleWatch#Health"/>
        <s v="#iPhone16Launch#AppleEvent"/>
        <s v="#AppleEvent#iPhone16"/>
        <s v="#iPhonePhotography#ShotOniPhone"/>
        <s v="#MacBookProM3"/>
        <s v="#Sustainability#AppleEarth"/>
      </sharedItems>
    </cacheField>
    <cacheField name="Hashtag_1" numFmtId="0">
      <sharedItems/>
    </cacheField>
    <cacheField name="Hashtag_2" numFmtId="0">
      <sharedItems containsBlank="1"/>
    </cacheField>
    <cacheField name="Final hashtags" numFmtId="0">
      <sharedItems count="11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</sharedItems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Clicks" numFmtId="1">
      <sharedItems containsSemiMixedTypes="0" containsString="0" containsNumber="1" containsInteger="1" minValue="301" maxValue="2936"/>
    </cacheField>
    <cacheField name="Reach" numFmtId="1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s v="YouTube"/>
    <s v="2024-12-23"/>
    <x v="0"/>
    <x v="0"/>
    <s v="#AppleWatchUltra2"/>
    <s v="#HealthTech"/>
    <x v="0"/>
    <n v="24516"/>
    <n v="976"/>
    <n v="974"/>
    <n v="2675"/>
    <n v="23275"/>
    <n v="202932"/>
    <s v="Apple Watch Ultra 2 Launch"/>
  </r>
  <r>
    <s v="A2"/>
    <s v="LinkedIn"/>
    <d v="2025-09-03T00:00:00"/>
    <x v="0"/>
    <x v="1"/>
    <s v="#MacBookAirM3"/>
    <s v="#AppleInnovation"/>
    <x v="1"/>
    <n v="4779"/>
    <n v="1110"/>
    <n v="436"/>
    <n v="1574"/>
    <n v="77167"/>
    <n v="71585"/>
    <s v="Apple Event September 2025"/>
  </r>
  <r>
    <s v="A3"/>
    <s v="Instagram"/>
    <s v="2025-05-12"/>
    <x v="1"/>
    <x v="2"/>
    <s v="#AppleDesign"/>
    <s v="#Innovation"/>
    <x v="2"/>
    <n v="19308"/>
    <n v="1318"/>
    <n v="795"/>
    <n v="1499"/>
    <n v="52307"/>
    <n v="193087"/>
    <s v="Sustainability Awareness Drive"/>
  </r>
  <r>
    <s v="A4"/>
    <s v="YouTube"/>
    <s v="2024-08-12"/>
    <x v="2"/>
    <x v="3"/>
    <s v="#AppleEvent"/>
    <s v="#iPadPro"/>
    <x v="3"/>
    <n v="3581"/>
    <n v="517"/>
    <n v="880"/>
    <n v="1925"/>
    <n v="18636"/>
    <n v="248611"/>
    <s v="iPhone 16 Launch"/>
  </r>
  <r>
    <s v="A5"/>
    <s v="YouTube"/>
    <d v="2025-09-04T00:00:00"/>
    <x v="2"/>
    <x v="0"/>
    <s v="#AppleWatchUltra2"/>
    <s v="#HealthTech"/>
    <x v="0"/>
    <n v="21708"/>
    <n v="435"/>
    <n v="317"/>
    <n v="1213"/>
    <n v="70701"/>
    <n v="83585"/>
    <s v="Apple Event September 2025"/>
  </r>
  <r>
    <s v="A6"/>
    <s v="LinkedIn"/>
    <d v="2025-09-05T00:00:00"/>
    <x v="0"/>
    <x v="4"/>
    <s v="#ShotOniPhone"/>
    <m/>
    <x v="4"/>
    <n v="14677"/>
    <n v="533"/>
    <n v="759"/>
    <n v="753"/>
    <n v="23275"/>
    <n v="66958"/>
    <s v="Apple Event September 2025"/>
  </r>
  <r>
    <s v="A7"/>
    <s v="Instagram"/>
    <s v="2024-06-24"/>
    <x v="3"/>
    <x v="5"/>
    <s v="#AppleMusic"/>
    <s v="#AppleLifestyle"/>
    <x v="5"/>
    <n v="7713"/>
    <n v="575"/>
    <n v="417"/>
    <n v="336"/>
    <n v="61660"/>
    <n v="66017"/>
    <s v="iPhone 16 Launch"/>
  </r>
  <r>
    <s v="A8"/>
    <s v="Instagram"/>
    <s v="2024-07-13"/>
    <x v="2"/>
    <x v="6"/>
    <s v="#AppleWatch"/>
    <s v="#Health"/>
    <x v="6"/>
    <n v="18639"/>
    <n v="1360"/>
    <n v="898"/>
    <n v="2011"/>
    <n v="42841"/>
    <n v="247779"/>
    <s v="iPhone 16 Launch"/>
  </r>
  <r>
    <s v="A9"/>
    <s v="YouTube"/>
    <s v="2024-08-30"/>
    <x v="3"/>
    <x v="1"/>
    <s v="#MacBookAirM3"/>
    <s v="#AppleInnovation"/>
    <x v="1"/>
    <n v="6804"/>
    <n v="787"/>
    <n v="970"/>
    <n v="1095"/>
    <n v="56343"/>
    <n v="164677"/>
    <s v="Apple Watch Ultra 2 Launch"/>
  </r>
  <r>
    <s v="A10"/>
    <s v="Twitter"/>
    <s v="2025-03-11"/>
    <x v="2"/>
    <x v="7"/>
    <s v="#iPhone16Launch"/>
    <s v="#AppleEvent"/>
    <x v="7"/>
    <n v="20222"/>
    <n v="712"/>
    <n v="604"/>
    <n v="1272"/>
    <n v="71598"/>
    <n v="216422"/>
    <s v="Sustainability Awareness Drive"/>
  </r>
  <r>
    <s v="A11"/>
    <s v="YouTube"/>
    <s v="2025-02-02"/>
    <x v="3"/>
    <x v="3"/>
    <s v="#AppleEvent"/>
    <s v="#iPadPro"/>
    <x v="3"/>
    <n v="12136"/>
    <n v="1117"/>
    <n v="834"/>
    <n v="892"/>
    <n v="24675"/>
    <n v="183273"/>
    <s v="Sustainability Awareness Drive"/>
  </r>
  <r>
    <s v="A12"/>
    <s v="YouTube"/>
    <s v="2024-07-21"/>
    <x v="1"/>
    <x v="1"/>
    <s v="#MacBookAirM3"/>
    <s v="#AppleInnovation"/>
    <x v="1"/>
    <n v="2009"/>
    <n v="1072"/>
    <n v="550"/>
    <n v="1437"/>
    <n v="22982"/>
    <n v="69426"/>
    <s v="iPhone 16 Launch"/>
  </r>
  <r>
    <s v="A13"/>
    <s v="YouTube"/>
    <s v="2024-11-18"/>
    <x v="3"/>
    <x v="5"/>
    <s v="#AppleMusic"/>
    <s v="#AppleLifestyle"/>
    <x v="5"/>
    <n v="21255"/>
    <n v="1452"/>
    <n v="625"/>
    <n v="1624"/>
    <n v="21282"/>
    <n v="57778"/>
    <s v="MacBook Air M3 Campaign"/>
  </r>
  <r>
    <s v="A14"/>
    <s v="YouTube"/>
    <d v="2025-09-06T00:00:00"/>
    <x v="1"/>
    <x v="6"/>
    <s v="#AppleWatch"/>
    <s v="#Health"/>
    <x v="6"/>
    <n v="7124"/>
    <n v="469"/>
    <n v="851"/>
    <n v="2571"/>
    <n v="33802"/>
    <n v="216313"/>
    <s v="Apple Event September 2025"/>
  </r>
  <r>
    <s v="A15"/>
    <s v="LinkedIn"/>
    <d v="2025-09-07T00:00:00"/>
    <x v="1"/>
    <x v="2"/>
    <s v="#AppleDesign"/>
    <s v="#Innovation"/>
    <x v="2"/>
    <n v="3015"/>
    <n v="997"/>
    <n v="783"/>
    <n v="617"/>
    <n v="77167"/>
    <n v="82229"/>
    <s v="Apple Event September 2025"/>
  </r>
  <r>
    <s v="A16"/>
    <s v="Instagram"/>
    <s v="2024-08-26"/>
    <x v="3"/>
    <x v="6"/>
    <s v="#AppleWatch"/>
    <s v="#Health"/>
    <x v="6"/>
    <n v="4193"/>
    <n v="924"/>
    <n v="707"/>
    <n v="2696"/>
    <n v="55075"/>
    <n v="126652"/>
    <s v="iPhone 16 Launch"/>
  </r>
  <r>
    <s v="A17"/>
    <s v="LinkedIn"/>
    <s v="2025-05-05"/>
    <x v="1"/>
    <x v="8"/>
    <s v="#AppleEvent"/>
    <s v="#iPhone16"/>
    <x v="3"/>
    <n v="10415"/>
    <n v="1388"/>
    <n v="725"/>
    <n v="2462"/>
    <n v="53082"/>
    <n v="168267"/>
    <s v="MacBook Air M3 Campaign"/>
  </r>
  <r>
    <s v="A18"/>
    <s v="LinkedIn"/>
    <s v="2024-08-19"/>
    <x v="0"/>
    <x v="6"/>
    <s v="#AppleWatch"/>
    <s v="#Health"/>
    <x v="6"/>
    <n v="15550"/>
    <n v="204"/>
    <n v="279"/>
    <n v="1646"/>
    <n v="35819"/>
    <n v="219436"/>
    <s v="Apple Watch Ultra 2 Launch"/>
  </r>
  <r>
    <s v="A19"/>
    <s v="LinkedIn"/>
    <s v="2024-06-23"/>
    <x v="1"/>
    <x v="8"/>
    <s v="#AppleEvent"/>
    <s v="#iPhone16"/>
    <x v="3"/>
    <n v="16512"/>
    <n v="1050"/>
    <n v="971"/>
    <n v="1891"/>
    <n v="15865"/>
    <n v="166503"/>
    <s v="iPhone 16 Launch"/>
  </r>
  <r>
    <s v="A20"/>
    <s v="YouTube"/>
    <s v="2024-09-09"/>
    <x v="2"/>
    <x v="2"/>
    <s v="#AppleDesign"/>
    <s v="#Innovation"/>
    <x v="2"/>
    <n v="6158"/>
    <n v="277"/>
    <n v="512"/>
    <n v="2189"/>
    <n v="76881"/>
    <n v="124878"/>
    <s v="iPhone 16 Launch"/>
  </r>
  <r>
    <s v="A21"/>
    <s v="Twitter"/>
    <d v="2025-09-08T00:00:00"/>
    <x v="3"/>
    <x v="9"/>
    <s v="#iPhonePhotography"/>
    <s v="#ShotOniPhone"/>
    <x v="8"/>
    <n v="22309"/>
    <n v="773"/>
    <n v="854"/>
    <n v="2387"/>
    <n v="72396"/>
    <n v="97056"/>
    <s v="Apple Event September 2025"/>
  </r>
  <r>
    <s v="A22"/>
    <s v="Instagram"/>
    <s v="2025-02-27"/>
    <x v="0"/>
    <x v="5"/>
    <s v="#AppleMusic"/>
    <s v="#AppleLifestyle"/>
    <x v="5"/>
    <n v="8970"/>
    <n v="331"/>
    <n v="968"/>
    <n v="2296"/>
    <n v="24613"/>
    <n v="198562"/>
    <s v="iPhone 16 Launch"/>
  </r>
  <r>
    <s v="A23"/>
    <s v="Twitter"/>
    <s v="2024-11-06"/>
    <x v="3"/>
    <x v="8"/>
    <s v="#AppleEvent"/>
    <s v="#iPhone16"/>
    <x v="3"/>
    <n v="8938"/>
    <n v="800"/>
    <n v="842"/>
    <n v="2072"/>
    <n v="31736"/>
    <n v="59975"/>
    <s v="iPhone 16 Launch"/>
  </r>
  <r>
    <s v="A24"/>
    <s v="LinkedIn"/>
    <s v="2025-01-23"/>
    <x v="2"/>
    <x v="7"/>
    <s v="#iPhone16Launch"/>
    <s v="#AppleEvent"/>
    <x v="7"/>
    <n v="23168"/>
    <n v="1265"/>
    <n v="441"/>
    <n v="1612"/>
    <n v="66615"/>
    <n v="197795"/>
    <s v="iPhone 16 Launch"/>
  </r>
  <r>
    <s v="A25"/>
    <s v="LinkedIn"/>
    <d v="2025-09-09T00:00:00"/>
    <x v="2"/>
    <x v="6"/>
    <s v="#AppleWatch"/>
    <s v="#Health"/>
    <x v="6"/>
    <n v="15772"/>
    <n v="288"/>
    <n v="520"/>
    <n v="1585"/>
    <n v="59182"/>
    <n v="194351"/>
    <s v="Apple Event September 2025"/>
  </r>
  <r>
    <s v="A26"/>
    <s v="Twitter"/>
    <s v="2025-04-05"/>
    <x v="2"/>
    <x v="6"/>
    <s v="#AppleWatch"/>
    <s v="#Health"/>
    <x v="6"/>
    <n v="22384"/>
    <n v="601"/>
    <n v="943"/>
    <n v="515"/>
    <n v="41309"/>
    <n v="249373"/>
    <s v="Apple Watch Ultra 2 Launch"/>
  </r>
  <r>
    <s v="A27"/>
    <s v="Twitter"/>
    <s v="2024-09-17"/>
    <x v="1"/>
    <x v="7"/>
    <s v="#iPhone16Launch"/>
    <s v="#AppleEvent"/>
    <x v="7"/>
    <n v="20017"/>
    <n v="495"/>
    <n v="178"/>
    <n v="2683"/>
    <n v="32244"/>
    <n v="182633"/>
    <s v="Apple Watch Ultra 2 Launch"/>
  </r>
  <r>
    <s v="A28"/>
    <s v="Twitter"/>
    <s v="2025-03-04"/>
    <x v="1"/>
    <x v="4"/>
    <s v="#ShotOniPhone"/>
    <m/>
    <x v="4"/>
    <n v="12344"/>
    <n v="815"/>
    <n v="298"/>
    <n v="2439"/>
    <n v="6259"/>
    <n v="237133"/>
    <s v="iPhone 16 Launch"/>
  </r>
  <r>
    <s v="A29"/>
    <s v="LinkedIn"/>
    <d v="2025-09-10T00:00:00"/>
    <x v="3"/>
    <x v="10"/>
    <s v="#MacBookProM3"/>
    <m/>
    <x v="9"/>
    <n v="9266"/>
    <n v="999"/>
    <n v="928"/>
    <n v="2700"/>
    <n v="12264"/>
    <n v="128397"/>
    <s v="Apple Event September 2025"/>
  </r>
  <r>
    <s v="A30"/>
    <s v="LinkedIn"/>
    <s v="2025-02-25"/>
    <x v="3"/>
    <x v="9"/>
    <s v="#iPhonePhotography"/>
    <s v="#ShotOniPhone"/>
    <x v="8"/>
    <n v="10702"/>
    <n v="621"/>
    <n v="445"/>
    <n v="2918"/>
    <n v="54808"/>
    <n v="220225"/>
    <s v="Apple Watch Ultra 2 Launch"/>
  </r>
  <r>
    <s v="A31"/>
    <s v="Instagram"/>
    <s v="2024-12-16"/>
    <x v="0"/>
    <x v="3"/>
    <s v="#AppleEvent"/>
    <s v="#iPadPro"/>
    <x v="3"/>
    <n v="2384"/>
    <n v="1246"/>
    <n v="160"/>
    <n v="2004"/>
    <n v="2701"/>
    <n v="73142"/>
    <s v="Apple Watch Ultra 2 Launch"/>
  </r>
  <r>
    <s v="A32"/>
    <s v="Instagram"/>
    <s v="2024-07-31"/>
    <x v="0"/>
    <x v="8"/>
    <s v="#AppleEvent"/>
    <s v="#iPhone16"/>
    <x v="3"/>
    <n v="2404"/>
    <n v="774"/>
    <n v="661"/>
    <n v="662"/>
    <n v="12676"/>
    <n v="66916"/>
    <s v="Apple Watch Ultra 2 Launch"/>
  </r>
  <r>
    <s v="A33"/>
    <s v="LinkedIn"/>
    <d v="2025-09-11T00:00:00"/>
    <x v="3"/>
    <x v="7"/>
    <s v="#iPhone16Launch"/>
    <s v="#AppleEvent"/>
    <x v="7"/>
    <n v="10175"/>
    <n v="342"/>
    <n v="825"/>
    <n v="2904"/>
    <n v="15954"/>
    <n v="104324"/>
    <s v="Apple Event September 2025"/>
  </r>
  <r>
    <s v="A34"/>
    <s v="Twitter"/>
    <d v="2025-09-12T00:00:00"/>
    <x v="1"/>
    <x v="2"/>
    <s v="#AppleDesign"/>
    <s v="#Innovation"/>
    <x v="2"/>
    <n v="17158"/>
    <n v="1192"/>
    <n v="262"/>
    <n v="2016"/>
    <n v="28771"/>
    <n v="216037"/>
    <s v="Apple Event September 2025"/>
  </r>
  <r>
    <s v="A35"/>
    <s v="Twitter"/>
    <s v="2024-11-30"/>
    <x v="2"/>
    <x v="8"/>
    <s v="#AppleEvent"/>
    <s v="#iPhone16"/>
    <x v="3"/>
    <n v="14763"/>
    <n v="864"/>
    <n v="336"/>
    <n v="1493"/>
    <n v="33310"/>
    <n v="165932"/>
    <s v="iPhone 16 Launch"/>
  </r>
  <r>
    <s v="A36"/>
    <s v="Instagram"/>
    <s v="2025-04-19"/>
    <x v="3"/>
    <x v="10"/>
    <s v="#MacBookProM3"/>
    <m/>
    <x v="9"/>
    <n v="20384"/>
    <n v="344"/>
    <n v="956"/>
    <n v="655"/>
    <n v="67621"/>
    <n v="175720"/>
    <s v="Sustainability Awareness Drive"/>
  </r>
  <r>
    <s v="A37"/>
    <s v="LinkedIn"/>
    <s v="2025-01-06"/>
    <x v="0"/>
    <x v="2"/>
    <s v="#AppleDesign"/>
    <s v="#Innovation"/>
    <x v="2"/>
    <n v="11860"/>
    <n v="1448"/>
    <n v="893"/>
    <n v="490"/>
    <n v="23518"/>
    <n v="206205"/>
    <s v="Apple Watch Ultra 2 Launch"/>
  </r>
  <r>
    <s v="A38"/>
    <s v="Instagram"/>
    <s v="2025-02-17"/>
    <x v="1"/>
    <x v="1"/>
    <s v="#MacBookAirM3"/>
    <s v="#AppleInnovation"/>
    <x v="1"/>
    <n v="7989"/>
    <n v="1206"/>
    <n v="376"/>
    <n v="2769"/>
    <n v="27550"/>
    <n v="221749"/>
    <s v="Sustainability Awareness Drive"/>
  </r>
  <r>
    <s v="A39"/>
    <s v="Instagram"/>
    <d v="2025-09-13T00:00:00"/>
    <x v="3"/>
    <x v="5"/>
    <s v="#AppleMusic"/>
    <s v="#AppleLifestyle"/>
    <x v="5"/>
    <n v="17106"/>
    <n v="702"/>
    <n v="459"/>
    <n v="999"/>
    <n v="59627"/>
    <n v="136059"/>
    <s v="Apple Event September 2025"/>
  </r>
  <r>
    <s v="A40"/>
    <s v="YouTube"/>
    <d v="2025-09-14T00:00:00"/>
    <x v="3"/>
    <x v="6"/>
    <s v="#AppleWatch"/>
    <s v="#Health"/>
    <x v="6"/>
    <n v="19844"/>
    <n v="1020"/>
    <n v="247"/>
    <n v="2354"/>
    <n v="37792"/>
    <n v="138317"/>
    <s v="Apple Event September 2025"/>
  </r>
  <r>
    <s v="A41"/>
    <s v="YouTube"/>
    <d v="2025-09-15T00:00:00"/>
    <x v="1"/>
    <x v="1"/>
    <s v="#MacBookAirM3"/>
    <s v="#AppleInnovation"/>
    <x v="1"/>
    <n v="5636"/>
    <n v="303"/>
    <n v="204"/>
    <n v="2480"/>
    <n v="7377"/>
    <n v="241207"/>
    <s v="Apple Event September 2025"/>
  </r>
  <r>
    <s v="A42"/>
    <s v="YouTube"/>
    <s v="2025-03-05"/>
    <x v="3"/>
    <x v="8"/>
    <s v="#AppleEvent"/>
    <s v="#iPhone16"/>
    <x v="3"/>
    <n v="12916"/>
    <n v="1262"/>
    <n v="772"/>
    <n v="856"/>
    <n v="11496"/>
    <n v="75046"/>
    <s v="Sustainability Awareness Drive"/>
  </r>
  <r>
    <s v="A43"/>
    <s v="Twitter"/>
    <d v="2025-09-16T00:00:00"/>
    <x v="1"/>
    <x v="10"/>
    <s v="#MacBookProM3"/>
    <m/>
    <x v="9"/>
    <n v="6809"/>
    <n v="397"/>
    <n v="813"/>
    <n v="1125"/>
    <n v="12206"/>
    <n v="218136"/>
    <s v="Apple Event September 2025"/>
  </r>
  <r>
    <s v="A44"/>
    <s v="LinkedIn"/>
    <s v="2025-03-02"/>
    <x v="2"/>
    <x v="9"/>
    <s v="#iPhonePhotography"/>
    <s v="#ShotOniPhone"/>
    <x v="8"/>
    <n v="22562"/>
    <n v="778"/>
    <n v="907"/>
    <n v="1354"/>
    <n v="34475"/>
    <n v="141459"/>
    <s v="iPhone 16 Launch"/>
  </r>
  <r>
    <s v="A45"/>
    <s v="LinkedIn"/>
    <d v="2025-09-17T00:00:00"/>
    <x v="1"/>
    <x v="5"/>
    <s v="#AppleMusic"/>
    <s v="#AppleLifestyle"/>
    <x v="5"/>
    <n v="15456"/>
    <n v="590"/>
    <n v="555"/>
    <n v="2882"/>
    <n v="49816"/>
    <n v="240422"/>
    <s v="Apple Event September 2025"/>
  </r>
  <r>
    <s v="A46"/>
    <s v="LinkedIn"/>
    <s v="2025-05-02"/>
    <x v="1"/>
    <x v="8"/>
    <s v="#AppleEvent"/>
    <s v="#iPhone16"/>
    <x v="3"/>
    <n v="17444"/>
    <n v="1402"/>
    <n v="218"/>
    <n v="725"/>
    <n v="8710"/>
    <n v="85893"/>
    <s v="MacBook Air M3 Campaign"/>
  </r>
  <r>
    <s v="A47"/>
    <s v="LinkedIn"/>
    <s v="2025-02-24"/>
    <x v="1"/>
    <x v="7"/>
    <s v="#iPhone16Launch"/>
    <s v="#AppleEvent"/>
    <x v="7"/>
    <n v="24984"/>
    <n v="753"/>
    <n v="461"/>
    <n v="2710"/>
    <n v="20792"/>
    <n v="141520"/>
    <s v="Sustainability Awareness Drive"/>
  </r>
  <r>
    <s v="A48"/>
    <s v="YouTube"/>
    <s v="2025-03-11"/>
    <x v="3"/>
    <x v="0"/>
    <s v="#AppleWatchUltra2"/>
    <s v="#HealthTech"/>
    <x v="0"/>
    <n v="7997"/>
    <n v="1238"/>
    <n v="438"/>
    <n v="1874"/>
    <n v="36272"/>
    <n v="165818"/>
    <s v="MacBook Air M3 Campaign"/>
  </r>
  <r>
    <s v="A49"/>
    <s v="Twitter"/>
    <d v="2025-09-18T00:00:00"/>
    <x v="3"/>
    <x v="8"/>
    <s v="#AppleEvent"/>
    <s v="#iPhone16"/>
    <x v="3"/>
    <n v="4048"/>
    <n v="677"/>
    <n v="911"/>
    <n v="2429"/>
    <n v="27361"/>
    <n v="101272"/>
    <s v="Apple Event September 2025"/>
  </r>
  <r>
    <s v="A50"/>
    <s v="Twitter"/>
    <s v="2024-07-03"/>
    <x v="1"/>
    <x v="5"/>
    <s v="#AppleMusic"/>
    <s v="#AppleLifestyle"/>
    <x v="5"/>
    <n v="14338"/>
    <n v="1454"/>
    <n v="697"/>
    <n v="2703"/>
    <n v="21288"/>
    <n v="107649"/>
    <s v="iPhone 16 Launch"/>
  </r>
  <r>
    <s v="A51"/>
    <s v="YouTube"/>
    <s v="2024-06-13"/>
    <x v="3"/>
    <x v="6"/>
    <s v="#AppleWatch"/>
    <s v="#Health"/>
    <x v="6"/>
    <n v="23164"/>
    <n v="1122"/>
    <n v="900"/>
    <n v="888"/>
    <n v="36938"/>
    <n v="104674"/>
    <s v="Apple Watch Ultra 2 Launch"/>
  </r>
  <r>
    <s v="A52"/>
    <s v="Twitter"/>
    <d v="2025-09-19T00:00:00"/>
    <x v="0"/>
    <x v="6"/>
    <s v="#AppleWatch"/>
    <s v="#Health"/>
    <x v="6"/>
    <n v="19100"/>
    <n v="619"/>
    <n v="297"/>
    <n v="2312"/>
    <n v="9730"/>
    <n v="184832"/>
    <s v="Apple Event September 2025"/>
  </r>
  <r>
    <s v="A53"/>
    <s v="YouTube"/>
    <s v="2025-02-24"/>
    <x v="0"/>
    <x v="8"/>
    <s v="#AppleEvent"/>
    <s v="#iPhone16"/>
    <x v="3"/>
    <n v="23949"/>
    <n v="356"/>
    <n v="616"/>
    <n v="1847"/>
    <n v="3144"/>
    <n v="192999"/>
    <s v="iPhone 16 Launch"/>
  </r>
  <r>
    <s v="A54"/>
    <s v="LinkedIn"/>
    <s v="2025-03-13"/>
    <x v="3"/>
    <x v="2"/>
    <s v="#AppleDesign"/>
    <s v="#Innovation"/>
    <x v="2"/>
    <n v="6544"/>
    <n v="749"/>
    <n v="888"/>
    <n v="594"/>
    <n v="18171"/>
    <n v="126475"/>
    <s v="Sustainability Awareness Drive"/>
  </r>
  <r>
    <s v="A55"/>
    <s v="YouTube"/>
    <s v="2024-06-17"/>
    <x v="3"/>
    <x v="0"/>
    <s v="#AppleWatchUltra2"/>
    <s v="#HealthTech"/>
    <x v="0"/>
    <n v="6976"/>
    <n v="1320"/>
    <n v="393"/>
    <n v="2285"/>
    <n v="14049"/>
    <n v="101367"/>
    <s v="MacBook Air M3 Campaign"/>
  </r>
  <r>
    <s v="A56"/>
    <s v="LinkedIn"/>
    <s v="2024-12-18"/>
    <x v="1"/>
    <x v="7"/>
    <s v="#iPhone16Launch"/>
    <s v="#AppleEvent"/>
    <x v="7"/>
    <n v="14775"/>
    <n v="1220"/>
    <n v="640"/>
    <n v="1547"/>
    <n v="28527"/>
    <n v="183660"/>
    <s v="MacBook Air M3 Campaign"/>
  </r>
  <r>
    <s v="A57"/>
    <s v="LinkedIn"/>
    <s v="2024-10-21"/>
    <x v="2"/>
    <x v="8"/>
    <s v="#AppleEvent"/>
    <s v="#iPhone16"/>
    <x v="3"/>
    <n v="12015"/>
    <n v="1196"/>
    <n v="998"/>
    <n v="1848"/>
    <n v="44739"/>
    <n v="161750"/>
    <s v="MacBook Air M3 Campaign"/>
  </r>
  <r>
    <s v="A58"/>
    <s v="Instagram"/>
    <s v="2025-04-15"/>
    <x v="3"/>
    <x v="2"/>
    <s v="#AppleDesign"/>
    <s v="#Innovation"/>
    <x v="2"/>
    <n v="5419"/>
    <n v="1150"/>
    <n v="656"/>
    <n v="1990"/>
    <n v="410"/>
    <n v="158154"/>
    <s v="Sustainability Awareness Drive"/>
  </r>
  <r>
    <s v="A59"/>
    <s v="YouTube"/>
    <s v="2024-06-22"/>
    <x v="0"/>
    <x v="6"/>
    <s v="#AppleWatch"/>
    <s v="#Health"/>
    <x v="6"/>
    <n v="16430"/>
    <n v="488"/>
    <n v="514"/>
    <n v="1436"/>
    <n v="30059"/>
    <n v="223305"/>
    <s v="iPhone 16 Launch"/>
  </r>
  <r>
    <s v="A60"/>
    <s v="Instagram"/>
    <s v="2025-01-28"/>
    <x v="1"/>
    <x v="6"/>
    <s v="#AppleWatch"/>
    <s v="#Health"/>
    <x v="6"/>
    <n v="9239"/>
    <n v="1477"/>
    <n v="631"/>
    <n v="1556"/>
    <n v="11580"/>
    <n v="84738"/>
    <s v="Sustainability Awareness Drive"/>
  </r>
  <r>
    <s v="A61"/>
    <s v="YouTube"/>
    <s v="2024-09-05"/>
    <x v="3"/>
    <x v="10"/>
    <s v="#MacBookProM3"/>
    <m/>
    <x v="9"/>
    <n v="16489"/>
    <n v="395"/>
    <n v="350"/>
    <n v="2364"/>
    <n v="43239"/>
    <n v="73397"/>
    <s v="MacBook Air M3 Campaign"/>
  </r>
  <r>
    <s v="A62"/>
    <s v="YouTube"/>
    <d v="2025-09-20T00:00:00"/>
    <x v="0"/>
    <x v="8"/>
    <s v="#AppleEvent"/>
    <s v="#iPhone16"/>
    <x v="3"/>
    <n v="18633"/>
    <n v="797"/>
    <n v="303"/>
    <n v="659"/>
    <n v="7"/>
    <n v="122189"/>
    <s v="Apple Event September 2025"/>
  </r>
  <r>
    <s v="A63"/>
    <s v="Instagram"/>
    <s v="2024-07-31"/>
    <x v="0"/>
    <x v="0"/>
    <s v="#AppleWatchUltra2"/>
    <s v="#HealthTech"/>
    <x v="0"/>
    <n v="12357"/>
    <n v="716"/>
    <n v="599"/>
    <n v="999"/>
    <n v="89591"/>
    <n v="116367"/>
    <s v="Apple Watch Ultra 2 Launch"/>
  </r>
  <r>
    <s v="A64"/>
    <s v="Instagram"/>
    <s v="2024-08-17"/>
    <x v="2"/>
    <x v="4"/>
    <s v="#ShotOniPhone"/>
    <m/>
    <x v="4"/>
    <n v="19154"/>
    <n v="1064"/>
    <n v="650"/>
    <n v="747"/>
    <n v="42667"/>
    <n v="242332"/>
    <s v="Sustainability Awareness Drive"/>
  </r>
  <r>
    <s v="A65"/>
    <s v="YouTube"/>
    <s v="2025-03-28"/>
    <x v="1"/>
    <x v="0"/>
    <s v="#AppleWatchUltra2"/>
    <s v="#HealthTech"/>
    <x v="0"/>
    <n v="6363"/>
    <n v="1341"/>
    <n v="222"/>
    <n v="2712"/>
    <n v="19987"/>
    <n v="160585"/>
    <s v="Sustainability Awareness Drive"/>
  </r>
  <r>
    <s v="A66"/>
    <s v="Twitter"/>
    <s v="2024-07-26"/>
    <x v="1"/>
    <x v="6"/>
    <s v="#AppleWatch"/>
    <s v="#Health"/>
    <x v="6"/>
    <n v="12176"/>
    <n v="1005"/>
    <n v="862"/>
    <n v="974"/>
    <n v="2285"/>
    <n v="116619"/>
    <s v="iPhone 16 Launch"/>
  </r>
  <r>
    <s v="A67"/>
    <s v="LinkedIn"/>
    <s v="2025-03-29"/>
    <x v="2"/>
    <x v="6"/>
    <s v="#AppleWatch"/>
    <s v="#Health"/>
    <x v="6"/>
    <n v="19461"/>
    <n v="1382"/>
    <n v="445"/>
    <n v="1307"/>
    <n v="84691"/>
    <n v="151453"/>
    <s v="iPhone 16 Launch"/>
  </r>
  <r>
    <s v="A68"/>
    <s v="Instagram"/>
    <s v="2024-12-08"/>
    <x v="2"/>
    <x v="1"/>
    <s v="#MacBookAirM3"/>
    <s v="#AppleInnovation"/>
    <x v="1"/>
    <n v="10427"/>
    <n v="1014"/>
    <n v="166"/>
    <n v="1649"/>
    <n v="15145"/>
    <n v="59816"/>
    <s v="Sustainability Awareness Drive"/>
  </r>
  <r>
    <s v="A69"/>
    <s v="LinkedIn"/>
    <s v="2025-03-08"/>
    <x v="1"/>
    <x v="6"/>
    <s v="#AppleWatch"/>
    <s v="#Health"/>
    <x v="6"/>
    <n v="10580"/>
    <n v="427"/>
    <n v="790"/>
    <n v="2814"/>
    <n v="24916"/>
    <n v="213312"/>
    <s v="MacBook Air M3 Campaign"/>
  </r>
  <r>
    <s v="A70"/>
    <s v="Twitter"/>
    <s v="2025-04-02"/>
    <x v="1"/>
    <x v="7"/>
    <s v="#iPhone16Launch"/>
    <s v="#AppleEvent"/>
    <x v="7"/>
    <n v="6858"/>
    <n v="415"/>
    <n v="366"/>
    <n v="2761"/>
    <n v="2988"/>
    <n v="177348"/>
    <s v="Apple Watch Ultra 2 Launch"/>
  </r>
  <r>
    <s v="A71"/>
    <s v="Twitter"/>
    <s v="2024-09-02"/>
    <x v="3"/>
    <x v="3"/>
    <s v="#AppleEvent"/>
    <s v="#iPadPro"/>
    <x v="3"/>
    <n v="12040"/>
    <n v="1147"/>
    <n v="210"/>
    <n v="885"/>
    <n v="30360"/>
    <n v="119530"/>
    <s v="iPhone 16 Launch"/>
  </r>
  <r>
    <s v="A72"/>
    <s v="Twitter"/>
    <s v="2025-03-03"/>
    <x v="3"/>
    <x v="8"/>
    <s v="#AppleEvent"/>
    <s v="#iPhone16"/>
    <x v="3"/>
    <n v="24928"/>
    <n v="214"/>
    <n v="765"/>
    <n v="1556"/>
    <n v="5239"/>
    <n v="194571"/>
    <s v="MacBook Air M3 Campaign"/>
  </r>
  <r>
    <s v="A73"/>
    <s v="Instagram"/>
    <d v="2025-09-21T00:00:00"/>
    <x v="2"/>
    <x v="0"/>
    <s v="#AppleWatchUltra2"/>
    <s v="#HealthTech"/>
    <x v="0"/>
    <n v="23103"/>
    <n v="1380"/>
    <n v="191"/>
    <n v="1547"/>
    <n v="77798"/>
    <n v="148856"/>
    <s v="Apple Event September 2025"/>
  </r>
  <r>
    <s v="A74"/>
    <s v="Twitter"/>
    <s v="2024-10-28"/>
    <x v="3"/>
    <x v="3"/>
    <s v="#AppleEvent"/>
    <s v="#iPadPro"/>
    <x v="3"/>
    <n v="21198"/>
    <n v="1484"/>
    <n v="174"/>
    <n v="1293"/>
    <n v="16330"/>
    <n v="111635"/>
    <s v="iPhone 16 Launch"/>
  </r>
  <r>
    <s v="A75"/>
    <s v="Instagram"/>
    <s v="2024-08-01"/>
    <x v="0"/>
    <x v="2"/>
    <s v="#AppleDesign"/>
    <s v="#Innovation"/>
    <x v="2"/>
    <n v="21758"/>
    <n v="1380"/>
    <n v="188"/>
    <n v="1735"/>
    <n v="20998"/>
    <n v="147803"/>
    <s v="MacBook Air M3 Campaign"/>
  </r>
  <r>
    <s v="A76"/>
    <s v="Twitter"/>
    <s v="2024-11-07"/>
    <x v="3"/>
    <x v="4"/>
    <s v="#ShotOniPhone"/>
    <m/>
    <x v="4"/>
    <n v="17254"/>
    <n v="246"/>
    <n v="952"/>
    <n v="871"/>
    <n v="14957"/>
    <n v="75946"/>
    <s v="MacBook Air M3 Campaign"/>
  </r>
  <r>
    <s v="A77"/>
    <s v="LinkedIn"/>
    <s v="2025-03-04"/>
    <x v="3"/>
    <x v="7"/>
    <s v="#iPhone16Launch"/>
    <s v="#AppleEvent"/>
    <x v="7"/>
    <n v="13470"/>
    <n v="523"/>
    <n v="280"/>
    <n v="2682"/>
    <n v="8538"/>
    <n v="95204"/>
    <s v="Apple Watch Ultra 2 Launch"/>
  </r>
  <r>
    <s v="A78"/>
    <s v="LinkedIn"/>
    <s v="2024-06-17"/>
    <x v="0"/>
    <x v="5"/>
    <s v="#AppleMusic"/>
    <s v="#AppleLifestyle"/>
    <x v="5"/>
    <n v="3252"/>
    <n v="1043"/>
    <n v="647"/>
    <n v="1545"/>
    <n v="18859"/>
    <n v="222958"/>
    <s v="Apple Watch Ultra 2 Launch"/>
  </r>
  <r>
    <s v="A79"/>
    <s v="YouTube"/>
    <d v="2025-09-22T00:00:00"/>
    <x v="2"/>
    <x v="11"/>
    <s v="#Sustainability"/>
    <s v="#AppleEarth"/>
    <x v="10"/>
    <n v="8996"/>
    <n v="329"/>
    <n v="378"/>
    <n v="2384"/>
    <n v="39404"/>
    <n v="242724"/>
    <s v="Apple Event September 2025"/>
  </r>
  <r>
    <s v="A80"/>
    <s v="LinkedIn"/>
    <s v="2024-06-13"/>
    <x v="0"/>
    <x v="0"/>
    <s v="#AppleWatchUltra2"/>
    <s v="#HealthTech"/>
    <x v="0"/>
    <n v="14173"/>
    <n v="294"/>
    <n v="257"/>
    <n v="1288"/>
    <n v="39466"/>
    <n v="55563"/>
    <s v="MacBook Air M3 Campaign"/>
  </r>
  <r>
    <s v="A81"/>
    <s v="YouTube"/>
    <s v="2024-10-19"/>
    <x v="3"/>
    <x v="3"/>
    <s v="#AppleEvent"/>
    <s v="#iPadPro"/>
    <x v="3"/>
    <n v="6673"/>
    <n v="826"/>
    <n v="321"/>
    <n v="577"/>
    <n v="19262"/>
    <n v="132324"/>
    <s v="MacBook Air M3 Campaign"/>
  </r>
  <r>
    <s v="A82"/>
    <s v="LinkedIn"/>
    <s v="2024-07-24"/>
    <x v="2"/>
    <x v="5"/>
    <s v="#AppleMusic"/>
    <s v="#AppleLifestyle"/>
    <x v="5"/>
    <n v="22914"/>
    <n v="954"/>
    <n v="584"/>
    <n v="1519"/>
    <n v="13637"/>
    <n v="49847"/>
    <s v="Apple Watch Ultra 2 Launch"/>
  </r>
  <r>
    <s v="A83"/>
    <s v="Instagram"/>
    <s v="2024-10-15"/>
    <x v="3"/>
    <x v="4"/>
    <s v="#ShotOniPhone"/>
    <m/>
    <x v="4"/>
    <n v="17781"/>
    <n v="993"/>
    <n v="627"/>
    <n v="2187"/>
    <n v="9609"/>
    <n v="66155"/>
    <s v="iPhone 16 Launch"/>
  </r>
  <r>
    <s v="A84"/>
    <s v="LinkedIn"/>
    <s v="2024-12-09"/>
    <x v="0"/>
    <x v="1"/>
    <s v="#MacBookAirM3"/>
    <s v="#AppleInnovation"/>
    <x v="1"/>
    <n v="15051"/>
    <n v="268"/>
    <n v="251"/>
    <n v="783"/>
    <n v="34154"/>
    <n v="119671"/>
    <s v="iPhone 16 Launch"/>
  </r>
  <r>
    <s v="A85"/>
    <s v="YouTube"/>
    <s v="2025-04-19"/>
    <x v="0"/>
    <x v="5"/>
    <s v="#AppleMusic"/>
    <s v="#AppleLifestyle"/>
    <x v="5"/>
    <n v="8881"/>
    <n v="210"/>
    <n v="673"/>
    <n v="1565"/>
    <n v="24847"/>
    <n v="156891"/>
    <s v="Sustainability Awareness Drive"/>
  </r>
  <r>
    <s v="A86"/>
    <s v="YouTube"/>
    <s v="2025-01-27"/>
    <x v="3"/>
    <x v="7"/>
    <s v="#iPhone16Launch"/>
    <s v="#AppleEvent"/>
    <x v="7"/>
    <n v="8949"/>
    <n v="1477"/>
    <n v="424"/>
    <n v="1030"/>
    <n v="58052"/>
    <n v="123310"/>
    <s v="Apple Watch Ultra 2 Launch"/>
  </r>
  <r>
    <s v="A87"/>
    <s v="Twitter"/>
    <s v="2024-06-06"/>
    <x v="1"/>
    <x v="7"/>
    <s v="#iPhone16Launch"/>
    <s v="#AppleEvent"/>
    <x v="7"/>
    <n v="11521"/>
    <n v="1071"/>
    <n v="762"/>
    <n v="2539"/>
    <n v="12701"/>
    <n v="238350"/>
    <s v="Sustainability Awareness Drive"/>
  </r>
  <r>
    <s v="A88"/>
    <s v="Instagram"/>
    <s v="2024-07-07"/>
    <x v="1"/>
    <x v="1"/>
    <s v="#MacBookAirM3"/>
    <s v="#AppleInnovation"/>
    <x v="1"/>
    <n v="24625"/>
    <n v="749"/>
    <n v="193"/>
    <n v="1340"/>
    <n v="4890"/>
    <n v="189381"/>
    <s v="Apple Watch Ultra 2 Launch"/>
  </r>
  <r>
    <s v="A89"/>
    <s v="LinkedIn"/>
    <d v="2025-09-23T00:00:00"/>
    <x v="0"/>
    <x v="11"/>
    <s v="#Sustainability"/>
    <s v="#AppleEarth"/>
    <x v="10"/>
    <n v="10017"/>
    <n v="1357"/>
    <n v="966"/>
    <n v="2871"/>
    <n v="14800"/>
    <n v="171691"/>
    <s v="Apple Event September 2025"/>
  </r>
  <r>
    <s v="A90"/>
    <s v="Twitter"/>
    <s v="2024-06-03"/>
    <x v="0"/>
    <x v="8"/>
    <s v="#AppleEvent"/>
    <s v="#iPhone16"/>
    <x v="3"/>
    <n v="8941"/>
    <n v="911"/>
    <n v="166"/>
    <n v="1217"/>
    <n v="68817"/>
    <n v="221180"/>
    <s v="MacBook Air M3 Campaign"/>
  </r>
  <r>
    <s v="A91"/>
    <s v="LinkedIn"/>
    <d v="2025-09-24T00:00:00"/>
    <x v="1"/>
    <x v="5"/>
    <s v="#AppleMusic"/>
    <s v="#AppleLifestyle"/>
    <x v="5"/>
    <n v="12209"/>
    <n v="222"/>
    <n v="479"/>
    <n v="2748"/>
    <n v="24615"/>
    <n v="74707"/>
    <s v="Apple Event September 2025"/>
  </r>
  <r>
    <s v="A92"/>
    <s v="LinkedIn"/>
    <s v="2024-10-21"/>
    <x v="1"/>
    <x v="1"/>
    <s v="#MacBookAirM3"/>
    <s v="#AppleInnovation"/>
    <x v="1"/>
    <n v="19715"/>
    <n v="1014"/>
    <n v="718"/>
    <n v="1185"/>
    <n v="37625"/>
    <n v="191409"/>
    <s v="Apple Watch Ultra 2 Launch"/>
  </r>
  <r>
    <s v="A93"/>
    <s v="Twitter"/>
    <s v="2024-12-11"/>
    <x v="3"/>
    <x v="7"/>
    <s v="#iPhone16Launch"/>
    <s v="#AppleEvent"/>
    <x v="7"/>
    <n v="22645"/>
    <n v="545"/>
    <n v="972"/>
    <n v="321"/>
    <n v="8396"/>
    <n v="121537"/>
    <s v="MacBook Air M3 Campaign"/>
  </r>
  <r>
    <s v="A94"/>
    <s v="Twitter"/>
    <s v="2024-11-07"/>
    <x v="3"/>
    <x v="7"/>
    <s v="#iPhone16Launch"/>
    <s v="#AppleEvent"/>
    <x v="7"/>
    <n v="11550"/>
    <n v="501"/>
    <n v="646"/>
    <n v="773"/>
    <n v="17841"/>
    <n v="237576"/>
    <s v="iPhone 16 Launch"/>
  </r>
  <r>
    <s v="A95"/>
    <s v="Twitter"/>
    <s v="2024-11-08"/>
    <x v="1"/>
    <x v="3"/>
    <s v="#AppleEvent"/>
    <s v="#iPadPro"/>
    <x v="3"/>
    <n v="23499"/>
    <n v="562"/>
    <n v="964"/>
    <n v="2557"/>
    <n v="56890"/>
    <n v="218686"/>
    <s v="iPhone 16 Launch"/>
  </r>
  <r>
    <s v="A96"/>
    <s v="Twitter"/>
    <s v="2024-09-10"/>
    <x v="3"/>
    <x v="6"/>
    <s v="#AppleWatch"/>
    <s v="#Health"/>
    <x v="6"/>
    <n v="6637"/>
    <n v="595"/>
    <n v="161"/>
    <n v="2653"/>
    <n v="19334"/>
    <n v="131155"/>
    <s v="Sustainability Awareness Drive"/>
  </r>
  <r>
    <s v="A97"/>
    <s v="Twitter"/>
    <s v="2024-08-13"/>
    <x v="3"/>
    <x v="11"/>
    <s v="#Sustainability"/>
    <s v="#AppleEarth"/>
    <x v="10"/>
    <n v="6854"/>
    <n v="417"/>
    <n v="467"/>
    <n v="1003"/>
    <n v="61333"/>
    <n v="40281"/>
    <s v="Apple Watch Ultra 2 Launch"/>
  </r>
  <r>
    <s v="A98"/>
    <s v="LinkedIn"/>
    <s v="2024-06-10"/>
    <x v="2"/>
    <x v="5"/>
    <s v="#AppleMusic"/>
    <s v="#AppleLifestyle"/>
    <x v="5"/>
    <n v="21561"/>
    <n v="340"/>
    <n v="741"/>
    <n v="986"/>
    <n v="24826"/>
    <n v="198492"/>
    <s v="Apple Watch Ultra 2 Launch"/>
  </r>
  <r>
    <s v="A99"/>
    <s v="Twitter"/>
    <s v="2024-07-02"/>
    <x v="3"/>
    <x v="5"/>
    <s v="#AppleMusic"/>
    <s v="#AppleLifestyle"/>
    <x v="5"/>
    <n v="12320"/>
    <n v="1157"/>
    <n v="365"/>
    <n v="584"/>
    <n v="66634"/>
    <n v="210102"/>
    <s v="iPhone 16 Launch"/>
  </r>
  <r>
    <s v="A100"/>
    <s v="Instagram"/>
    <d v="2025-09-25T00:00:00"/>
    <x v="0"/>
    <x v="4"/>
    <s v="#ShotOniPhone"/>
    <m/>
    <x v="4"/>
    <n v="20564"/>
    <n v="1433"/>
    <n v="488"/>
    <n v="1015"/>
    <n v="24333"/>
    <n v="172130"/>
    <s v="Apple Event September 2025"/>
  </r>
  <r>
    <s v="A101"/>
    <s v="YouTube"/>
    <s v="2024-10-18"/>
    <x v="3"/>
    <x v="1"/>
    <s v="#MacBookAirM3"/>
    <s v="#AppleInnovation"/>
    <x v="1"/>
    <n v="6892"/>
    <n v="1184"/>
    <n v="925"/>
    <n v="1062"/>
    <n v="75008"/>
    <n v="116260"/>
    <s v="MacBook Air M3 Campaign"/>
  </r>
  <r>
    <s v="A102"/>
    <s v="Twitter"/>
    <d v="2025-09-26T00:00:00"/>
    <x v="3"/>
    <x v="4"/>
    <s v="#ShotOniPhone"/>
    <m/>
    <x v="4"/>
    <n v="9043"/>
    <n v="1192"/>
    <n v="810"/>
    <n v="1550"/>
    <n v="5221"/>
    <n v="199476"/>
    <s v="Apple Event September 2025"/>
  </r>
  <r>
    <s v="A103"/>
    <s v="Twitter"/>
    <d v="2025-09-27T00:00:00"/>
    <x v="1"/>
    <x v="1"/>
    <s v="#MacBookAirM3"/>
    <s v="#AppleInnovation"/>
    <x v="1"/>
    <n v="18521"/>
    <n v="1027"/>
    <n v="230"/>
    <n v="1247"/>
    <n v="39588"/>
    <n v="200928"/>
    <s v="Apple Event September 2025"/>
  </r>
  <r>
    <s v="A104"/>
    <s v="LinkedIn"/>
    <s v="2025-03-23"/>
    <x v="0"/>
    <x v="2"/>
    <s v="#AppleDesign"/>
    <s v="#Innovation"/>
    <x v="2"/>
    <n v="24711"/>
    <n v="882"/>
    <n v="876"/>
    <n v="2728"/>
    <n v="32015"/>
    <n v="180272"/>
    <s v="iPhone 16 Launch"/>
  </r>
  <r>
    <s v="A105"/>
    <s v="Twitter"/>
    <s v="2024-06-14"/>
    <x v="3"/>
    <x v="7"/>
    <s v="#iPhone16Launch"/>
    <s v="#AppleEvent"/>
    <x v="7"/>
    <n v="21856"/>
    <n v="1203"/>
    <n v="634"/>
    <n v="2807"/>
    <n v="3647"/>
    <n v="104178"/>
    <s v="iPhone 16 Launch"/>
  </r>
  <r>
    <s v="A106"/>
    <s v="Twitter"/>
    <s v="2025-02-04"/>
    <x v="3"/>
    <x v="6"/>
    <s v="#AppleWatch"/>
    <s v="#Health"/>
    <x v="6"/>
    <n v="23833"/>
    <n v="555"/>
    <n v="523"/>
    <n v="1330"/>
    <n v="69141"/>
    <n v="73997"/>
    <s v="iPhone 16 Launch"/>
  </r>
  <r>
    <s v="A107"/>
    <s v="Twitter"/>
    <s v="2024-06-21"/>
    <x v="2"/>
    <x v="3"/>
    <s v="#AppleEvent"/>
    <s v="#iPadPro"/>
    <x v="3"/>
    <n v="21216"/>
    <n v="1207"/>
    <n v="859"/>
    <n v="328"/>
    <n v="91296"/>
    <n v="196683"/>
    <s v="Sustainability Awareness Drive"/>
  </r>
  <r>
    <s v="A108"/>
    <s v="LinkedIn"/>
    <d v="2025-09-28T00:00:00"/>
    <x v="3"/>
    <x v="6"/>
    <s v="#AppleWatch"/>
    <s v="#Health"/>
    <x v="6"/>
    <n v="21963"/>
    <n v="1356"/>
    <n v="349"/>
    <n v="1206"/>
    <n v="51755"/>
    <n v="159273"/>
    <s v="Apple Event September 2025"/>
  </r>
  <r>
    <s v="A109"/>
    <s v="Twitter"/>
    <s v="2024-08-08"/>
    <x v="3"/>
    <x v="6"/>
    <s v="#AppleWatch"/>
    <s v="#Health"/>
    <x v="6"/>
    <n v="24355"/>
    <n v="1087"/>
    <n v="686"/>
    <n v="2426"/>
    <n v="24963"/>
    <n v="212307"/>
    <s v="Apple Watch Ultra 2 Launch"/>
  </r>
  <r>
    <s v="A110"/>
    <s v="YouTube"/>
    <s v="2024-07-29"/>
    <x v="2"/>
    <x v="6"/>
    <s v="#AppleWatch"/>
    <s v="#Health"/>
    <x v="6"/>
    <n v="6164"/>
    <n v="326"/>
    <n v="615"/>
    <n v="2806"/>
    <n v="38579"/>
    <n v="206129"/>
    <s v="MacBook Air M3 Campaign"/>
  </r>
  <r>
    <s v="A111"/>
    <s v="LinkedIn"/>
    <s v="2024-11-23"/>
    <x v="1"/>
    <x v="4"/>
    <s v="#ShotOniPhone"/>
    <m/>
    <x v="4"/>
    <n v="9941"/>
    <n v="1329"/>
    <n v="238"/>
    <n v="869"/>
    <n v="40281"/>
    <n v="172311"/>
    <s v="Sustainability Awareness Drive"/>
  </r>
  <r>
    <s v="A112"/>
    <s v="YouTube"/>
    <s v="2024-10-05"/>
    <x v="3"/>
    <x v="1"/>
    <s v="#MacBookAirM3"/>
    <s v="#AppleInnovation"/>
    <x v="1"/>
    <n v="16388"/>
    <n v="1208"/>
    <n v="417"/>
    <n v="2306"/>
    <n v="16865"/>
    <n v="236733"/>
    <s v="Apple Watch Ultra 2 Launch"/>
  </r>
  <r>
    <s v="A113"/>
    <s v="LinkedIn"/>
    <d v="2025-09-29T00:00:00"/>
    <x v="2"/>
    <x v="9"/>
    <s v="#iPhonePhotography"/>
    <s v="#ShotOniPhone"/>
    <x v="8"/>
    <n v="7569"/>
    <n v="803"/>
    <n v="804"/>
    <n v="1753"/>
    <n v="43582"/>
    <n v="166945"/>
    <s v="Apple Event September 2025"/>
  </r>
  <r>
    <s v="A114"/>
    <s v="Twitter"/>
    <s v="2024-11-14"/>
    <x v="0"/>
    <x v="2"/>
    <s v="#AppleDesign"/>
    <s v="#Innovation"/>
    <x v="2"/>
    <n v="6300"/>
    <n v="1213"/>
    <n v="720"/>
    <n v="1037"/>
    <n v="39569"/>
    <n v="85272"/>
    <s v="iPhone 16 Launch"/>
  </r>
  <r>
    <s v="A115"/>
    <s v="YouTube"/>
    <d v="2025-09-30T00:00:00"/>
    <x v="1"/>
    <x v="0"/>
    <s v="#AppleWatchUltra2"/>
    <s v="#HealthTech"/>
    <x v="0"/>
    <n v="8269"/>
    <n v="250"/>
    <n v="638"/>
    <n v="815"/>
    <n v="41991"/>
    <n v="129393"/>
    <s v="Apple Event September 2025"/>
  </r>
  <r>
    <s v="A116"/>
    <s v="LinkedIn"/>
    <s v="2025-03-18"/>
    <x v="0"/>
    <x v="6"/>
    <s v="#AppleWatch"/>
    <s v="#Health"/>
    <x v="6"/>
    <n v="5818"/>
    <n v="1252"/>
    <n v="687"/>
    <n v="2300"/>
    <n v="25081"/>
    <n v="101212"/>
    <s v="MacBook Air M3 Campaign"/>
  </r>
  <r>
    <s v="A117"/>
    <s v="Instagram"/>
    <s v="2024-11-04"/>
    <x v="0"/>
    <x v="8"/>
    <s v="#AppleEvent"/>
    <s v="#iPhone16"/>
    <x v="3"/>
    <n v="14015"/>
    <n v="978"/>
    <n v="196"/>
    <n v="2744"/>
    <n v="20190"/>
    <n v="186470"/>
    <s v="Sustainability Awareness Drive"/>
  </r>
  <r>
    <s v="A118"/>
    <s v="Twitter"/>
    <s v="2024-11-04"/>
    <x v="2"/>
    <x v="4"/>
    <s v="#ShotOniPhone"/>
    <m/>
    <x v="4"/>
    <n v="14234"/>
    <n v="1013"/>
    <n v="437"/>
    <n v="338"/>
    <n v="67754"/>
    <n v="160030"/>
    <s v="Sustainability Awareness Drive"/>
  </r>
  <r>
    <s v="A119"/>
    <s v="LinkedIn"/>
    <s v="2025-02-07"/>
    <x v="3"/>
    <x v="11"/>
    <s v="#Sustainability"/>
    <s v="#AppleEarth"/>
    <x v="10"/>
    <n v="20290"/>
    <n v="619"/>
    <n v="927"/>
    <n v="1186"/>
    <n v="8924"/>
    <n v="96503"/>
    <s v="MacBook Air M3 Campaign"/>
  </r>
  <r>
    <s v="A120"/>
    <s v="Instagram"/>
    <s v="2024-10-21"/>
    <x v="2"/>
    <x v="3"/>
    <s v="#AppleEvent"/>
    <s v="#iPadPro"/>
    <x v="3"/>
    <n v="8254"/>
    <n v="1405"/>
    <n v="165"/>
    <n v="2504"/>
    <n v="8081"/>
    <n v="177710"/>
    <s v="Apple Watch Ultra 2 Launch"/>
  </r>
  <r>
    <s v="A121"/>
    <s v="LinkedIn"/>
    <s v="2024-07-29"/>
    <x v="2"/>
    <x v="0"/>
    <s v="#AppleWatchUltra2"/>
    <s v="#HealthTech"/>
    <x v="0"/>
    <n v="19144"/>
    <n v="1182"/>
    <n v="860"/>
    <n v="1398"/>
    <n v="4185"/>
    <n v="46570"/>
    <s v="Apple Watch Ultra 2 Launch"/>
  </r>
  <r>
    <s v="A122"/>
    <s v="Instagram"/>
    <s v="2024-10-02"/>
    <x v="2"/>
    <x v="9"/>
    <s v="#iPhonePhotography"/>
    <s v="#ShotOniPhone"/>
    <x v="8"/>
    <n v="9350"/>
    <n v="1024"/>
    <n v="550"/>
    <n v="2123"/>
    <n v="53916"/>
    <n v="108785"/>
    <s v="Sustainability Awareness Drive"/>
  </r>
  <r>
    <s v="A123"/>
    <s v="Twitter"/>
    <s v="2024-06-14"/>
    <x v="2"/>
    <x v="8"/>
    <s v="#AppleEvent"/>
    <s v="#iPhone16"/>
    <x v="3"/>
    <n v="17183"/>
    <n v="1224"/>
    <n v="943"/>
    <n v="2010"/>
    <n v="21481"/>
    <n v="49110"/>
    <s v="Sustainability Awareness Drive"/>
  </r>
  <r>
    <s v="A124"/>
    <s v="YouTube"/>
    <s v="2025-04-06"/>
    <x v="1"/>
    <x v="9"/>
    <s v="#iPhonePhotography"/>
    <s v="#ShotOniPhone"/>
    <x v="8"/>
    <n v="8238"/>
    <n v="766"/>
    <n v="235"/>
    <n v="1273"/>
    <n v="4706"/>
    <n v="119141"/>
    <s v="iPhone 16 Launch"/>
  </r>
  <r>
    <s v="A125"/>
    <s v="Instagram"/>
    <s v="2024-09-08"/>
    <x v="3"/>
    <x v="0"/>
    <s v="#AppleWatchUltra2"/>
    <s v="#HealthTech"/>
    <x v="0"/>
    <n v="8090"/>
    <n v="570"/>
    <n v="399"/>
    <n v="1862"/>
    <n v="34088"/>
    <n v="52115"/>
    <s v="Apple Watch Ultra 2 Launch"/>
  </r>
  <r>
    <s v="A126"/>
    <s v="LinkedIn"/>
    <s v="2025-03-28"/>
    <x v="0"/>
    <x v="6"/>
    <s v="#AppleWatch"/>
    <s v="#Health"/>
    <x v="6"/>
    <n v="13637"/>
    <n v="1135"/>
    <n v="540"/>
    <n v="1288"/>
    <n v="45183"/>
    <n v="79062"/>
    <s v="MacBook Air M3 Campaign"/>
  </r>
  <r>
    <s v="A127"/>
    <s v="Twitter"/>
    <s v="2025-01-27"/>
    <x v="0"/>
    <x v="8"/>
    <s v="#AppleEvent"/>
    <s v="#iPhone16"/>
    <x v="3"/>
    <n v="24415"/>
    <n v="860"/>
    <n v="931"/>
    <n v="320"/>
    <n v="65049"/>
    <n v="62911"/>
    <s v="Apple Watch Ultra 2 Launch"/>
  </r>
  <r>
    <s v="A128"/>
    <s v="Instagram"/>
    <s v="2025-01-10"/>
    <x v="3"/>
    <x v="9"/>
    <s v="#iPhonePhotography"/>
    <s v="#ShotOniPhone"/>
    <x v="8"/>
    <n v="14647"/>
    <n v="1168"/>
    <n v="484"/>
    <n v="2650"/>
    <n v="27217"/>
    <n v="144061"/>
    <s v="iPhone 16 Launch"/>
  </r>
  <r>
    <s v="A129"/>
    <s v="LinkedIn"/>
    <s v="2024-07-21"/>
    <x v="0"/>
    <x v="3"/>
    <s v="#AppleEvent"/>
    <s v="#iPadPro"/>
    <x v="3"/>
    <n v="11911"/>
    <n v="1360"/>
    <n v="778"/>
    <n v="1168"/>
    <n v="16483"/>
    <n v="72556"/>
    <s v="Sustainability Awareness Drive"/>
  </r>
  <r>
    <s v="A130"/>
    <s v="LinkedIn"/>
    <s v="2024-09-29"/>
    <x v="3"/>
    <x v="1"/>
    <s v="#MacBookAirM3"/>
    <s v="#AppleInnovation"/>
    <x v="1"/>
    <n v="10472"/>
    <n v="401"/>
    <n v="668"/>
    <n v="383"/>
    <n v="37571"/>
    <n v="249203"/>
    <s v="Sustainability Awareness Drive"/>
  </r>
  <r>
    <s v="A131"/>
    <s v="LinkedIn"/>
    <s v="2024-10-21"/>
    <x v="0"/>
    <x v="7"/>
    <s v="#iPhone16Launch"/>
    <s v="#AppleEvent"/>
    <x v="7"/>
    <n v="20271"/>
    <n v="512"/>
    <n v="286"/>
    <n v="1982"/>
    <n v="43225"/>
    <n v="168335"/>
    <s v="iPhone 16 Launch"/>
  </r>
  <r>
    <s v="A132"/>
    <s v="Instagram"/>
    <s v="2025-03-04"/>
    <x v="2"/>
    <x v="1"/>
    <s v="#MacBookAirM3"/>
    <s v="#AppleInnovation"/>
    <x v="1"/>
    <n v="5266"/>
    <n v="316"/>
    <n v="837"/>
    <n v="2276"/>
    <n v="20967"/>
    <n v="41969"/>
    <s v="MacBook Air M3 Campaign"/>
  </r>
  <r>
    <s v="A133"/>
    <s v="Instagram"/>
    <s v="2025-02-06"/>
    <x v="0"/>
    <x v="0"/>
    <s v="#AppleWatchUltra2"/>
    <s v="#HealthTech"/>
    <x v="0"/>
    <n v="2666"/>
    <n v="1136"/>
    <n v="989"/>
    <n v="1710"/>
    <n v="36467"/>
    <n v="83753"/>
    <s v="Sustainability Awareness Drive"/>
  </r>
  <r>
    <s v="A134"/>
    <s v="Instagram"/>
    <d v="2025-10-01T00:00:00"/>
    <x v="3"/>
    <x v="4"/>
    <s v="#ShotOniPhone"/>
    <m/>
    <x v="4"/>
    <n v="6188"/>
    <n v="774"/>
    <n v="647"/>
    <n v="1830"/>
    <n v="55436"/>
    <n v="175542"/>
    <s v="Apple Event September 2025"/>
  </r>
  <r>
    <s v="A135"/>
    <s v="YouTube"/>
    <s v="2024-11-28"/>
    <x v="3"/>
    <x v="7"/>
    <s v="#iPhone16Launch"/>
    <s v="#AppleEvent"/>
    <x v="7"/>
    <n v="19055"/>
    <n v="443"/>
    <n v="976"/>
    <n v="869"/>
    <n v="75437"/>
    <n v="161863"/>
    <s v="Sustainability Awareness Drive"/>
  </r>
  <r>
    <s v="A136"/>
    <s v="Instagram"/>
    <d v="2025-10-02T00:00:00"/>
    <x v="3"/>
    <x v="2"/>
    <s v="#AppleDesign"/>
    <s v="#Innovation"/>
    <x v="2"/>
    <n v="12161"/>
    <n v="736"/>
    <n v="876"/>
    <n v="1233"/>
    <n v="21337"/>
    <n v="50225"/>
    <s v="Apple Event September 2025"/>
  </r>
  <r>
    <s v="A137"/>
    <s v="Instagram"/>
    <s v="2024-07-31"/>
    <x v="3"/>
    <x v="3"/>
    <s v="#AppleEvent"/>
    <s v="#iPadPro"/>
    <x v="3"/>
    <n v="13314"/>
    <n v="274"/>
    <n v="626"/>
    <n v="2280"/>
    <n v="14639"/>
    <n v="163008"/>
    <s v="iPhone 16 Launch"/>
  </r>
  <r>
    <s v="A138"/>
    <s v="Instagram"/>
    <s v="2025-03-29"/>
    <x v="3"/>
    <x v="2"/>
    <s v="#AppleDesign"/>
    <s v="#Innovation"/>
    <x v="2"/>
    <n v="23508"/>
    <n v="585"/>
    <n v="743"/>
    <n v="2155"/>
    <n v="3704"/>
    <n v="194268"/>
    <s v="iPhone 16 Launch"/>
  </r>
  <r>
    <s v="A139"/>
    <s v="YouTube"/>
    <s v="2024-10-29"/>
    <x v="1"/>
    <x v="8"/>
    <s v="#AppleEvent"/>
    <s v="#iPhone16"/>
    <x v="3"/>
    <n v="23969"/>
    <n v="1433"/>
    <n v="372"/>
    <n v="1092"/>
    <n v="32147"/>
    <n v="145823"/>
    <s v="Sustainability Awareness Drive"/>
  </r>
  <r>
    <s v="A140"/>
    <s v="Instagram"/>
    <s v="2024-07-15"/>
    <x v="1"/>
    <x v="5"/>
    <s v="#AppleMusic"/>
    <s v="#AppleLifestyle"/>
    <x v="5"/>
    <n v="14891"/>
    <n v="674"/>
    <n v="521"/>
    <n v="1091"/>
    <n v="18101"/>
    <n v="53669"/>
    <s v="Apple Watch Ultra 2 Launch"/>
  </r>
  <r>
    <s v="A141"/>
    <s v="LinkedIn"/>
    <d v="2025-10-03T00:00:00"/>
    <x v="0"/>
    <x v="7"/>
    <s v="#iPhone16Launch"/>
    <s v="#AppleEvent"/>
    <x v="7"/>
    <n v="6777"/>
    <n v="617"/>
    <n v="551"/>
    <n v="2109"/>
    <n v="18559"/>
    <n v="208452"/>
    <s v="Apple Event September 2025"/>
  </r>
  <r>
    <s v="A142"/>
    <s v="Instagram"/>
    <s v="2025-03-25"/>
    <x v="3"/>
    <x v="2"/>
    <s v="#AppleDesign"/>
    <s v="#Innovation"/>
    <x v="2"/>
    <n v="5900"/>
    <n v="546"/>
    <n v="592"/>
    <n v="1594"/>
    <n v="38627"/>
    <n v="164398"/>
    <s v="MacBook Air M3 Campaign"/>
  </r>
  <r>
    <s v="A143"/>
    <s v="LinkedIn"/>
    <s v="2024-10-02"/>
    <x v="0"/>
    <x v="2"/>
    <s v="#AppleDesign"/>
    <s v="#Innovation"/>
    <x v="2"/>
    <n v="15716"/>
    <n v="839"/>
    <n v="639"/>
    <n v="2839"/>
    <n v="349"/>
    <n v="150677"/>
    <s v="Sustainability Awareness Drive"/>
  </r>
  <r>
    <s v="A144"/>
    <s v="LinkedIn"/>
    <s v="2024-10-28"/>
    <x v="3"/>
    <x v="9"/>
    <s v="#iPhonePhotography"/>
    <s v="#ShotOniPhone"/>
    <x v="8"/>
    <n v="8981"/>
    <n v="1138"/>
    <n v="764"/>
    <n v="2555"/>
    <n v="92810"/>
    <n v="88320"/>
    <s v="MacBook Air M3 Campaign"/>
  </r>
  <r>
    <s v="A145"/>
    <s v="LinkedIn"/>
    <s v="2024-08-12"/>
    <x v="3"/>
    <x v="1"/>
    <s v="#MacBookAirM3"/>
    <s v="#AppleInnovation"/>
    <x v="1"/>
    <n v="8376"/>
    <n v="1154"/>
    <n v="422"/>
    <n v="1907"/>
    <n v="36874"/>
    <n v="218486"/>
    <s v="Sustainability Awareness Drive"/>
  </r>
  <r>
    <s v="A146"/>
    <s v="YouTube"/>
    <s v="2024-06-05"/>
    <x v="1"/>
    <x v="9"/>
    <s v="#iPhonePhotography"/>
    <s v="#ShotOniPhone"/>
    <x v="8"/>
    <n v="18907"/>
    <n v="1075"/>
    <n v="675"/>
    <n v="1383"/>
    <n v="17875"/>
    <n v="186649"/>
    <s v="Apple Watch Ultra 2 Launch"/>
  </r>
  <r>
    <s v="A147"/>
    <s v="YouTube"/>
    <s v="2024-10-21"/>
    <x v="1"/>
    <x v="7"/>
    <s v="#iPhone16Launch"/>
    <s v="#AppleEvent"/>
    <x v="7"/>
    <n v="20777"/>
    <n v="962"/>
    <n v="308"/>
    <n v="2777"/>
    <n v="25529"/>
    <n v="165354"/>
    <s v="Apple Watch Ultra 2 Launch"/>
  </r>
  <r>
    <s v="A148"/>
    <s v="YouTube"/>
    <s v="2025-04-15"/>
    <x v="2"/>
    <x v="7"/>
    <s v="#iPhone16Launch"/>
    <s v="#AppleEvent"/>
    <x v="7"/>
    <n v="20977"/>
    <n v="1402"/>
    <n v="301"/>
    <n v="1284"/>
    <n v="24620"/>
    <n v="128009"/>
    <s v="Apple Watch Ultra 2 Launch"/>
  </r>
  <r>
    <s v="A149"/>
    <s v="Instagram"/>
    <s v="2024-06-16"/>
    <x v="1"/>
    <x v="0"/>
    <s v="#AppleWatchUltra2"/>
    <s v="#HealthTech"/>
    <x v="0"/>
    <n v="12160"/>
    <n v="1405"/>
    <n v="769"/>
    <n v="1980"/>
    <n v="33174"/>
    <n v="226481"/>
    <s v="Apple Watch Ultra 2 Launch"/>
  </r>
  <r>
    <s v="A150"/>
    <s v="LinkedIn"/>
    <s v="2024-08-22"/>
    <x v="2"/>
    <x v="9"/>
    <s v="#iPhonePhotography"/>
    <s v="#ShotOniPhone"/>
    <x v="8"/>
    <n v="16124"/>
    <n v="863"/>
    <n v="337"/>
    <n v="819"/>
    <n v="85788"/>
    <n v="68625"/>
    <s v="iPhone 16 Launch"/>
  </r>
  <r>
    <s v="A151"/>
    <s v="YouTube"/>
    <s v="2024-07-26"/>
    <x v="2"/>
    <x v="10"/>
    <s v="#MacBookProM3"/>
    <m/>
    <x v="9"/>
    <n v="18282"/>
    <n v="224"/>
    <n v="962"/>
    <n v="890"/>
    <n v="35105"/>
    <n v="64089"/>
    <s v="iPhone 16 Launch"/>
  </r>
  <r>
    <s v="A152"/>
    <s v="YouTube"/>
    <d v="2025-10-04T00:00:00"/>
    <x v="2"/>
    <x v="11"/>
    <s v="#Sustainability"/>
    <s v="#AppleEarth"/>
    <x v="10"/>
    <n v="12488"/>
    <n v="1403"/>
    <n v="247"/>
    <n v="1350"/>
    <n v="28370"/>
    <n v="76487"/>
    <s v="Apple Event September 2025"/>
  </r>
  <r>
    <s v="A153"/>
    <s v="Instagram"/>
    <s v="2025-01-01"/>
    <x v="2"/>
    <x v="1"/>
    <s v="#MacBookAirM3"/>
    <s v="#AppleInnovation"/>
    <x v="1"/>
    <n v="24574"/>
    <n v="909"/>
    <n v="280"/>
    <n v="2009"/>
    <n v="6221"/>
    <n v="236910"/>
    <s v="MacBook Air M3 Campaign"/>
  </r>
  <r>
    <s v="A154"/>
    <s v="YouTube"/>
    <s v="2024-10-09"/>
    <x v="2"/>
    <x v="7"/>
    <s v="#iPhone16Launch"/>
    <s v="#AppleEvent"/>
    <x v="7"/>
    <n v="7240"/>
    <n v="1384"/>
    <n v="954"/>
    <n v="2335"/>
    <n v="6757"/>
    <n v="150448"/>
    <s v="Sustainability Awareness Drive"/>
  </r>
  <r>
    <s v="A155"/>
    <s v="Instagram"/>
    <s v="2024-12-21"/>
    <x v="0"/>
    <x v="0"/>
    <s v="#AppleWatchUltra2"/>
    <s v="#HealthTech"/>
    <x v="0"/>
    <n v="12453"/>
    <n v="376"/>
    <n v="320"/>
    <n v="2546"/>
    <n v="22617"/>
    <n v="90138"/>
    <s v="Sustainability Awareness Drive"/>
  </r>
  <r>
    <s v="A156"/>
    <s v="Twitter"/>
    <s v="2024-10-22"/>
    <x v="1"/>
    <x v="5"/>
    <s v="#AppleMusic"/>
    <s v="#AppleLifestyle"/>
    <x v="5"/>
    <n v="12478"/>
    <n v="484"/>
    <n v="332"/>
    <n v="2734"/>
    <n v="43338"/>
    <n v="213895"/>
    <s v="iPhone 16 Launch"/>
  </r>
  <r>
    <s v="A157"/>
    <s v="YouTube"/>
    <s v="2024-07-23"/>
    <x v="2"/>
    <x v="9"/>
    <s v="#iPhonePhotography"/>
    <s v="#ShotOniPhone"/>
    <x v="8"/>
    <n v="24877"/>
    <n v="262"/>
    <n v="513"/>
    <n v="648"/>
    <n v="47544"/>
    <n v="208280"/>
    <s v="Sustainability Awareness Drive"/>
  </r>
  <r>
    <s v="A158"/>
    <s v="Twitter"/>
    <s v="2024-08-11"/>
    <x v="3"/>
    <x v="1"/>
    <s v="#MacBookAirM3"/>
    <s v="#AppleInnovation"/>
    <x v="1"/>
    <n v="14394"/>
    <n v="1202"/>
    <n v="188"/>
    <n v="1259"/>
    <n v="21925"/>
    <n v="94061"/>
    <s v="iPhone 16 Launch"/>
  </r>
  <r>
    <s v="A159"/>
    <s v="Instagram"/>
    <d v="2025-10-05T00:00:00"/>
    <x v="1"/>
    <x v="5"/>
    <s v="#AppleMusic"/>
    <s v="#AppleLifestyle"/>
    <x v="5"/>
    <n v="21262"/>
    <n v="861"/>
    <n v="676"/>
    <n v="2263"/>
    <n v="12085"/>
    <n v="201731"/>
    <s v="Apple Event September 2025"/>
  </r>
  <r>
    <s v="A160"/>
    <s v="LinkedIn"/>
    <s v="2024-08-24"/>
    <x v="1"/>
    <x v="9"/>
    <s v="#iPhonePhotography"/>
    <s v="#ShotOniPhone"/>
    <x v="8"/>
    <n v="22527"/>
    <n v="865"/>
    <n v="646"/>
    <n v="992"/>
    <n v="18654"/>
    <n v="141376"/>
    <s v="MacBook Air M3 Campaign"/>
  </r>
  <r>
    <s v="A161"/>
    <s v="YouTube"/>
    <d v="2025-10-06T00:00:00"/>
    <x v="2"/>
    <x v="2"/>
    <s v="#AppleDesign"/>
    <s v="#Innovation"/>
    <x v="2"/>
    <n v="22028"/>
    <n v="355"/>
    <n v="665"/>
    <n v="1859"/>
    <n v="50565"/>
    <n v="202962"/>
    <s v="Apple Event September 2025"/>
  </r>
  <r>
    <s v="A162"/>
    <s v="Instagram"/>
    <s v="2025-04-01"/>
    <x v="0"/>
    <x v="5"/>
    <s v="#AppleMusic"/>
    <s v="#AppleLifestyle"/>
    <x v="5"/>
    <n v="6432"/>
    <n v="1272"/>
    <n v="498"/>
    <n v="677"/>
    <n v="47305"/>
    <n v="119134"/>
    <s v="Apple Watch Ultra 2 Launch"/>
  </r>
  <r>
    <s v="A163"/>
    <s v="LinkedIn"/>
    <s v="2025-04-08"/>
    <x v="2"/>
    <x v="0"/>
    <s v="#AppleWatchUltra2"/>
    <s v="#HealthTech"/>
    <x v="0"/>
    <n v="15568"/>
    <n v="1166"/>
    <n v="546"/>
    <n v="826"/>
    <n v="21836"/>
    <n v="87055"/>
    <s v="Apple Watch Ultra 2 Launch"/>
  </r>
  <r>
    <s v="A164"/>
    <s v="LinkedIn"/>
    <s v="2025-02-27"/>
    <x v="0"/>
    <x v="1"/>
    <s v="#MacBookAirM3"/>
    <s v="#AppleInnovation"/>
    <x v="1"/>
    <n v="16178"/>
    <n v="1048"/>
    <n v="871"/>
    <n v="2553"/>
    <n v="39025"/>
    <n v="59508"/>
    <s v="Apple Watch Ultra 2 Launch"/>
  </r>
  <r>
    <s v="A165"/>
    <s v="Twitter"/>
    <d v="2025-10-07T00:00:00"/>
    <x v="3"/>
    <x v="6"/>
    <s v="#AppleWatch"/>
    <s v="#Health"/>
    <x v="6"/>
    <n v="19660"/>
    <n v="1307"/>
    <n v="310"/>
    <n v="2802"/>
    <n v="22171"/>
    <n v="213359"/>
    <s v="Apple Event September 2025"/>
  </r>
  <r>
    <s v="A166"/>
    <s v="Instagram"/>
    <s v="2025-02-16"/>
    <x v="1"/>
    <x v="8"/>
    <s v="#AppleEvent"/>
    <s v="#iPhone16"/>
    <x v="3"/>
    <n v="24195"/>
    <n v="888"/>
    <n v="165"/>
    <n v="1559"/>
    <n v="11596"/>
    <n v="249988"/>
    <s v="Sustainability Awareness Drive"/>
  </r>
  <r>
    <s v="A167"/>
    <s v="LinkedIn"/>
    <s v="2024-11-28"/>
    <x v="3"/>
    <x v="8"/>
    <s v="#AppleEvent"/>
    <s v="#iPhone16"/>
    <x v="3"/>
    <n v="2302"/>
    <n v="347"/>
    <n v="642"/>
    <n v="2175"/>
    <n v="56378"/>
    <n v="198056"/>
    <s v="MacBook Air M3 Campaign"/>
  </r>
  <r>
    <s v="A168"/>
    <s v="YouTube"/>
    <s v="2024-11-12"/>
    <x v="0"/>
    <x v="1"/>
    <s v="#MacBookAirM3"/>
    <s v="#AppleInnovation"/>
    <x v="1"/>
    <n v="19022"/>
    <n v="541"/>
    <n v="575"/>
    <n v="2063"/>
    <n v="42743"/>
    <n v="150169"/>
    <s v="Apple Watch Ultra 2 Launch"/>
  </r>
  <r>
    <s v="A169"/>
    <s v="YouTube"/>
    <s v="2024-12-03"/>
    <x v="0"/>
    <x v="5"/>
    <s v="#AppleMusic"/>
    <s v="#AppleLifestyle"/>
    <x v="5"/>
    <n v="2055"/>
    <n v="675"/>
    <n v="257"/>
    <n v="820"/>
    <n v="33534"/>
    <n v="48125"/>
    <s v="Apple Watch Ultra 2 Launch"/>
  </r>
  <r>
    <s v="A170"/>
    <s v="Twitter"/>
    <s v="2025-04-28"/>
    <x v="3"/>
    <x v="9"/>
    <s v="#iPhonePhotography"/>
    <s v="#ShotOniPhone"/>
    <x v="8"/>
    <n v="15013"/>
    <n v="1286"/>
    <n v="599"/>
    <n v="2001"/>
    <n v="67839"/>
    <n v="76059"/>
    <s v="Apple Watch Ultra 2 Launch"/>
  </r>
  <r>
    <s v="A171"/>
    <s v="LinkedIn"/>
    <s v="2024-12-31"/>
    <x v="0"/>
    <x v="0"/>
    <s v="#AppleWatchUltra2"/>
    <s v="#HealthTech"/>
    <x v="0"/>
    <n v="10717"/>
    <n v="760"/>
    <n v="460"/>
    <n v="1316"/>
    <n v="18164"/>
    <n v="240641"/>
    <s v="MacBook Air M3 Campaign"/>
  </r>
  <r>
    <s v="A172"/>
    <s v="Instagram"/>
    <s v="2024-08-14"/>
    <x v="3"/>
    <x v="11"/>
    <s v="#Sustainability"/>
    <s v="#AppleEarth"/>
    <x v="10"/>
    <n v="10150"/>
    <n v="526"/>
    <n v="888"/>
    <n v="1313"/>
    <n v="51605"/>
    <n v="143409"/>
    <s v="Apple Watch Ultra 2 Launch"/>
  </r>
  <r>
    <s v="A173"/>
    <s v="YouTube"/>
    <s v="2024-12-05"/>
    <x v="1"/>
    <x v="8"/>
    <s v="#AppleEvent"/>
    <s v="#iPhone16"/>
    <x v="3"/>
    <n v="4125"/>
    <n v="1364"/>
    <n v="319"/>
    <n v="2848"/>
    <n v="15379"/>
    <n v="188159"/>
    <s v="MacBook Air M3 Campaign"/>
  </r>
  <r>
    <s v="A174"/>
    <s v="LinkedIn"/>
    <s v="2024-06-22"/>
    <x v="3"/>
    <x v="0"/>
    <s v="#AppleWatchUltra2"/>
    <s v="#HealthTech"/>
    <x v="0"/>
    <n v="13479"/>
    <n v="1189"/>
    <n v="695"/>
    <n v="416"/>
    <n v="30229"/>
    <n v="45704"/>
    <s v="Apple Watch Ultra 2 Launch"/>
  </r>
  <r>
    <s v="A175"/>
    <s v="LinkedIn"/>
    <d v="2025-10-08T00:00:00"/>
    <x v="1"/>
    <x v="8"/>
    <s v="#AppleEvent"/>
    <s v="#iPhone16"/>
    <x v="3"/>
    <n v="17745"/>
    <n v="414"/>
    <n v="563"/>
    <n v="2733"/>
    <n v="995"/>
    <n v="231648"/>
    <s v="Apple Event September 2025"/>
  </r>
  <r>
    <s v="A176"/>
    <s v="Twitter"/>
    <d v="2025-10-09T00:00:00"/>
    <x v="3"/>
    <x v="2"/>
    <s v="#AppleDesign"/>
    <s v="#Innovation"/>
    <x v="2"/>
    <n v="18748"/>
    <n v="634"/>
    <n v="400"/>
    <n v="1667"/>
    <n v="75813"/>
    <n v="244456"/>
    <s v="Apple Event September 2025"/>
  </r>
  <r>
    <s v="A177"/>
    <s v="YouTube"/>
    <s v="2024-07-10"/>
    <x v="0"/>
    <x v="9"/>
    <s v="#iPhonePhotography"/>
    <s v="#ShotOniPhone"/>
    <x v="8"/>
    <n v="8809"/>
    <n v="1151"/>
    <n v="908"/>
    <n v="883"/>
    <n v="42921"/>
    <n v="151279"/>
    <s v="MacBook Air M3 Campaign"/>
  </r>
  <r>
    <s v="A178"/>
    <s v="YouTube"/>
    <d v="2025-10-10T00:00:00"/>
    <x v="3"/>
    <x v="2"/>
    <s v="#AppleDesign"/>
    <s v="#Innovation"/>
    <x v="2"/>
    <n v="6621"/>
    <n v="922"/>
    <n v="930"/>
    <n v="694"/>
    <n v="839"/>
    <n v="243532"/>
    <s v="Apple Event September 2025"/>
  </r>
  <r>
    <s v="A179"/>
    <s v="Instagram"/>
    <s v="2024-07-15"/>
    <x v="0"/>
    <x v="8"/>
    <s v="#AppleEvent"/>
    <s v="#iPhone16"/>
    <x v="3"/>
    <n v="17034"/>
    <n v="231"/>
    <n v="290"/>
    <n v="1387"/>
    <n v="63550"/>
    <n v="198280"/>
    <s v="MacBook Air M3 Campaign"/>
  </r>
  <r>
    <s v="A180"/>
    <s v="YouTube"/>
    <d v="2025-10-11T00:00:00"/>
    <x v="3"/>
    <x v="6"/>
    <s v="#AppleWatch"/>
    <s v="#Health"/>
    <x v="6"/>
    <n v="15623"/>
    <n v="869"/>
    <n v="423"/>
    <n v="371"/>
    <n v="47579"/>
    <n v="158516"/>
    <s v="Apple Event September 2025"/>
  </r>
  <r>
    <s v="A181"/>
    <s v="Instagram"/>
    <d v="2025-10-12T00:00:00"/>
    <x v="3"/>
    <x v="6"/>
    <s v="#AppleWatch"/>
    <s v="#Health"/>
    <x v="6"/>
    <n v="7126"/>
    <n v="484"/>
    <n v="565"/>
    <n v="573"/>
    <n v="7389"/>
    <n v="237096"/>
    <s v="Apple Event September 2025"/>
  </r>
  <r>
    <s v="A182"/>
    <s v="YouTube"/>
    <s v="2024-07-31"/>
    <x v="2"/>
    <x v="2"/>
    <s v="#AppleDesign"/>
    <s v="#Innovation"/>
    <x v="2"/>
    <n v="7122"/>
    <n v="628"/>
    <n v="757"/>
    <n v="2313"/>
    <n v="50924"/>
    <n v="210954"/>
    <s v="MacBook Air M3 Campaign"/>
  </r>
  <r>
    <s v="A183"/>
    <s v="Twitter"/>
    <s v="2024-12-17"/>
    <x v="0"/>
    <x v="6"/>
    <s v="#AppleWatch"/>
    <s v="#Health"/>
    <x v="6"/>
    <n v="20030"/>
    <n v="485"/>
    <n v="888"/>
    <n v="1643"/>
    <n v="4322"/>
    <n v="196995"/>
    <s v="Sustainability Awareness Drive"/>
  </r>
  <r>
    <s v="A184"/>
    <s v="YouTube"/>
    <d v="2025-10-13T00:00:00"/>
    <x v="2"/>
    <x v="8"/>
    <s v="#AppleEvent"/>
    <s v="#iPhone16"/>
    <x v="3"/>
    <n v="19302"/>
    <n v="1367"/>
    <n v="188"/>
    <n v="637"/>
    <n v="31404"/>
    <n v="154044"/>
    <s v="Apple Event September 2025"/>
  </r>
  <r>
    <s v="A185"/>
    <s v="Instagram"/>
    <s v="2025-01-11"/>
    <x v="0"/>
    <x v="1"/>
    <s v="#MacBookAirM3"/>
    <s v="#AppleInnovation"/>
    <x v="1"/>
    <n v="21181"/>
    <n v="1242"/>
    <n v="963"/>
    <n v="1689"/>
    <n v="49329"/>
    <n v="69165"/>
    <s v="Apple Watch Ultra 2 Launch"/>
  </r>
  <r>
    <s v="A186"/>
    <s v="Instagram"/>
    <s v="2024-08-24"/>
    <x v="2"/>
    <x v="2"/>
    <s v="#AppleDesign"/>
    <s v="#Innovation"/>
    <x v="2"/>
    <n v="24890"/>
    <n v="217"/>
    <n v="178"/>
    <n v="906"/>
    <n v="54826"/>
    <n v="107203"/>
    <s v="Sustainability Awareness Drive"/>
  </r>
  <r>
    <s v="A187"/>
    <s v="Twitter"/>
    <s v="2024-12-22"/>
    <x v="1"/>
    <x v="11"/>
    <s v="#Sustainability"/>
    <s v="#AppleEarth"/>
    <x v="10"/>
    <n v="7870"/>
    <n v="968"/>
    <n v="626"/>
    <n v="465"/>
    <n v="27184"/>
    <n v="44114"/>
    <s v="MacBook Air M3 Campaign"/>
  </r>
  <r>
    <s v="A188"/>
    <s v="YouTube"/>
    <s v="2024-06-06"/>
    <x v="3"/>
    <x v="11"/>
    <s v="#Sustainability"/>
    <s v="#AppleEarth"/>
    <x v="10"/>
    <n v="3531"/>
    <n v="789"/>
    <n v="467"/>
    <n v="1867"/>
    <n v="40816"/>
    <n v="236037"/>
    <s v="Sustainability Awareness Drive"/>
  </r>
  <r>
    <s v="A189"/>
    <s v="YouTube"/>
    <s v="2025-03-24"/>
    <x v="0"/>
    <x v="4"/>
    <s v="#ShotOniPhone"/>
    <m/>
    <x v="4"/>
    <n v="10172"/>
    <n v="1398"/>
    <n v="394"/>
    <n v="2358"/>
    <n v="59610"/>
    <n v="76321"/>
    <s v="iPhone 16 Launch"/>
  </r>
  <r>
    <s v="A190"/>
    <s v="Twitter"/>
    <s v="2024-10-04"/>
    <x v="0"/>
    <x v="5"/>
    <s v="#AppleMusic"/>
    <s v="#AppleLifestyle"/>
    <x v="5"/>
    <n v="21729"/>
    <n v="1209"/>
    <n v="897"/>
    <n v="1624"/>
    <n v="38771"/>
    <n v="113297"/>
    <s v="iPhone 16 Launch"/>
  </r>
  <r>
    <s v="A191"/>
    <s v="YouTube"/>
    <d v="2025-10-14T00:00:00"/>
    <x v="3"/>
    <x v="9"/>
    <s v="#iPhonePhotography"/>
    <s v="#ShotOniPhone"/>
    <x v="8"/>
    <n v="9673"/>
    <n v="393"/>
    <n v="846"/>
    <n v="1028"/>
    <n v="55556"/>
    <n v="136652"/>
    <s v="Apple Event September 2025"/>
  </r>
  <r>
    <s v="A192"/>
    <s v="YouTube"/>
    <d v="2025-10-15T00:00:00"/>
    <x v="0"/>
    <x v="6"/>
    <s v="#AppleWatch"/>
    <s v="#Health"/>
    <x v="6"/>
    <n v="8882"/>
    <n v="701"/>
    <n v="421"/>
    <n v="2343"/>
    <n v="13588"/>
    <n v="139304"/>
    <s v="Apple Event September 2025"/>
  </r>
  <r>
    <s v="A193"/>
    <s v="Instagram"/>
    <s v="2024-09-11"/>
    <x v="0"/>
    <x v="6"/>
    <s v="#AppleWatch"/>
    <s v="#Health"/>
    <x v="6"/>
    <n v="3906"/>
    <n v="1187"/>
    <n v="589"/>
    <n v="401"/>
    <n v="52687"/>
    <n v="196498"/>
    <s v="Apple Watch Ultra 2 Launch"/>
  </r>
  <r>
    <s v="A194"/>
    <s v="YouTube"/>
    <s v="2024-10-02"/>
    <x v="2"/>
    <x v="5"/>
    <s v="#AppleMusic"/>
    <s v="#AppleLifestyle"/>
    <x v="5"/>
    <n v="5086"/>
    <n v="1336"/>
    <n v="897"/>
    <n v="1715"/>
    <n v="60592"/>
    <n v="57772"/>
    <s v="Sustainability Awareness Drive"/>
  </r>
  <r>
    <s v="A195"/>
    <s v="YouTube"/>
    <s v="2024-08-15"/>
    <x v="0"/>
    <x v="7"/>
    <s v="#iPhone16Launch"/>
    <s v="#AppleEvent"/>
    <x v="7"/>
    <n v="15503"/>
    <n v="313"/>
    <n v="388"/>
    <n v="1078"/>
    <n v="11500"/>
    <n v="143754"/>
    <s v="iPhone 16 Launch"/>
  </r>
  <r>
    <s v="A196"/>
    <s v="Twitter"/>
    <d v="2025-09-18T00:00:00"/>
    <x v="1"/>
    <x v="10"/>
    <s v="#MacBookProM3"/>
    <m/>
    <x v="9"/>
    <n v="10152"/>
    <n v="1445"/>
    <n v="526"/>
    <n v="513"/>
    <n v="18959"/>
    <n v="43712"/>
    <s v="Apple Event September 2025"/>
  </r>
  <r>
    <s v="A197"/>
    <s v="Twitter"/>
    <s v="2024-10-22"/>
    <x v="1"/>
    <x v="2"/>
    <s v="#AppleDesign"/>
    <s v="#Innovation"/>
    <x v="2"/>
    <n v="7750"/>
    <n v="1146"/>
    <n v="415"/>
    <n v="1411"/>
    <n v="85339"/>
    <n v="172439"/>
    <s v="Sustainability Awareness Drive"/>
  </r>
  <r>
    <s v="A198"/>
    <s v="LinkedIn"/>
    <d v="2025-09-19T00:00:00"/>
    <x v="3"/>
    <x v="3"/>
    <s v="#AppleEvent"/>
    <s v="#iPadPro"/>
    <x v="3"/>
    <n v="14772"/>
    <n v="1030"/>
    <n v="508"/>
    <n v="1876"/>
    <n v="8882"/>
    <n v="155142"/>
    <s v="Apple Event September 2025"/>
  </r>
  <r>
    <s v="A199"/>
    <s v="Instagram"/>
    <d v="2025-09-20T00:00:00"/>
    <x v="0"/>
    <x v="6"/>
    <s v="#AppleWatch"/>
    <s v="#Health"/>
    <x v="6"/>
    <n v="12267"/>
    <n v="1487"/>
    <n v="489"/>
    <n v="2748"/>
    <n v="34685"/>
    <n v="131736"/>
    <s v="Apple Event September 2025"/>
  </r>
  <r>
    <s v="A200"/>
    <s v="YouTube"/>
    <s v="2025-04-07"/>
    <x v="3"/>
    <x v="9"/>
    <s v="#iPhonePhotography"/>
    <s v="#ShotOniPhone"/>
    <x v="8"/>
    <n v="3062"/>
    <n v="1124"/>
    <n v="538"/>
    <n v="2935"/>
    <n v="69749"/>
    <n v="91924"/>
    <s v="iPhone 16 Launch"/>
  </r>
  <r>
    <s v="A201"/>
    <s v="YouTube"/>
    <s v="2025-01-15"/>
    <x v="1"/>
    <x v="4"/>
    <s v="#ShotOniPhone"/>
    <m/>
    <x v="4"/>
    <n v="20360"/>
    <n v="254"/>
    <n v="726"/>
    <n v="1995"/>
    <n v="14280"/>
    <n v="43726"/>
    <s v="iPhone 16 Launch"/>
  </r>
  <r>
    <s v="A202"/>
    <s v="LinkedIn"/>
    <d v="2025-09-21T00:00:00"/>
    <x v="0"/>
    <x v="11"/>
    <s v="#Sustainability"/>
    <s v="#AppleEarth"/>
    <x v="10"/>
    <n v="19680"/>
    <n v="999"/>
    <n v="838"/>
    <n v="891"/>
    <n v="29576"/>
    <n v="129152"/>
    <s v="Apple Event September 2025"/>
  </r>
  <r>
    <s v="A203"/>
    <s v="YouTube"/>
    <s v="2024-11-21"/>
    <x v="0"/>
    <x v="6"/>
    <s v="#AppleWatch"/>
    <s v="#Health"/>
    <x v="6"/>
    <n v="8229"/>
    <n v="977"/>
    <n v="152"/>
    <n v="1633"/>
    <n v="71447"/>
    <n v="67723"/>
    <s v="MacBook Air M3 Campaign"/>
  </r>
  <r>
    <s v="A204"/>
    <s v="Instagram"/>
    <d v="2025-09-22T00:00:00"/>
    <x v="3"/>
    <x v="4"/>
    <s v="#ShotOniPhone"/>
    <m/>
    <x v="4"/>
    <n v="18509"/>
    <n v="361"/>
    <n v="578"/>
    <n v="1409"/>
    <n v="10569"/>
    <n v="166969"/>
    <s v="Apple Event September 2025"/>
  </r>
  <r>
    <s v="A205"/>
    <s v="LinkedIn"/>
    <d v="2025-09-23T00:00:00"/>
    <x v="1"/>
    <x v="8"/>
    <s v="#AppleEvent"/>
    <s v="#iPhone16"/>
    <x v="3"/>
    <n v="17147"/>
    <n v="286"/>
    <n v="291"/>
    <n v="2439"/>
    <n v="45631"/>
    <n v="140494"/>
    <s v="Apple Event September 2025"/>
  </r>
  <r>
    <s v="A206"/>
    <s v="Instagram"/>
    <s v="2024-06-24"/>
    <x v="0"/>
    <x v="8"/>
    <s v="#AppleEvent"/>
    <s v="#iPhone16"/>
    <x v="3"/>
    <n v="6632"/>
    <n v="254"/>
    <n v="525"/>
    <n v="1013"/>
    <n v="13838"/>
    <n v="180180"/>
    <s v="Apple Watch Ultra 2 Launch"/>
  </r>
  <r>
    <s v="A207"/>
    <s v="LinkedIn"/>
    <s v="2024-12-29"/>
    <x v="3"/>
    <x v="10"/>
    <s v="#MacBookProM3"/>
    <m/>
    <x v="9"/>
    <n v="8288"/>
    <n v="1401"/>
    <n v="819"/>
    <n v="1235"/>
    <n v="33446"/>
    <n v="248786"/>
    <s v="Apple Watch Ultra 2 Launch"/>
  </r>
  <r>
    <s v="A208"/>
    <s v="LinkedIn"/>
    <s v="2024-06-24"/>
    <x v="1"/>
    <x v="1"/>
    <s v="#MacBookAirM3"/>
    <s v="#AppleInnovation"/>
    <x v="1"/>
    <n v="5596"/>
    <n v="1231"/>
    <n v="473"/>
    <n v="2251"/>
    <n v="43705"/>
    <n v="75643"/>
    <s v="Apple Watch Ultra 2 Launch"/>
  </r>
  <r>
    <s v="A209"/>
    <s v="Twitter"/>
    <s v="2025-03-19"/>
    <x v="3"/>
    <x v="3"/>
    <s v="#AppleEvent"/>
    <s v="#iPadPro"/>
    <x v="3"/>
    <n v="13475"/>
    <n v="1032"/>
    <n v="295"/>
    <n v="541"/>
    <n v="43666"/>
    <n v="202396"/>
    <s v="MacBook Air M3 Campaign"/>
  </r>
  <r>
    <s v="A210"/>
    <s v="Instagram"/>
    <s v="2025-02-19"/>
    <x v="2"/>
    <x v="7"/>
    <s v="#iPhone16Launch"/>
    <s v="#AppleEvent"/>
    <x v="7"/>
    <n v="8168"/>
    <n v="512"/>
    <n v="442"/>
    <n v="2343"/>
    <n v="2753"/>
    <n v="143896"/>
    <s v="MacBook Air M3 Campaign"/>
  </r>
  <r>
    <s v="A211"/>
    <s v="YouTube"/>
    <d v="2025-09-24T00:00:00"/>
    <x v="0"/>
    <x v="10"/>
    <s v="#MacBookProM3"/>
    <m/>
    <x v="9"/>
    <n v="11795"/>
    <n v="958"/>
    <n v="814"/>
    <n v="301"/>
    <n v="12564"/>
    <n v="179999"/>
    <s v="Apple Event September 2025"/>
  </r>
  <r>
    <s v="A212"/>
    <s v="YouTube"/>
    <s v="2025-03-03"/>
    <x v="2"/>
    <x v="0"/>
    <s v="#AppleWatchUltra2"/>
    <s v="#HealthTech"/>
    <x v="0"/>
    <n v="9561"/>
    <n v="642"/>
    <n v="581"/>
    <n v="2572"/>
    <n v="38552"/>
    <n v="133680"/>
    <s v="Apple Watch Ultra 2 Launch"/>
  </r>
  <r>
    <s v="A213"/>
    <s v="Instagram"/>
    <s v="2025-05-01"/>
    <x v="1"/>
    <x v="7"/>
    <s v="#iPhone16Launch"/>
    <s v="#AppleEvent"/>
    <x v="7"/>
    <n v="10258"/>
    <n v="527"/>
    <n v="854"/>
    <n v="2068"/>
    <n v="45632"/>
    <n v="136546"/>
    <s v="MacBook Air M3 Campaign"/>
  </r>
  <r>
    <s v="A214"/>
    <s v="YouTube"/>
    <s v="2024-12-23"/>
    <x v="2"/>
    <x v="2"/>
    <s v="#AppleDesign"/>
    <s v="#Innovation"/>
    <x v="2"/>
    <n v="18616"/>
    <n v="1277"/>
    <n v="734"/>
    <n v="2249"/>
    <n v="3399"/>
    <n v="193515"/>
    <s v="iPhone 16 Launch"/>
  </r>
  <r>
    <s v="A215"/>
    <s v="YouTube"/>
    <d v="2025-09-25T00:00:00"/>
    <x v="2"/>
    <x v="9"/>
    <s v="#iPhonePhotography"/>
    <s v="#ShotOniPhone"/>
    <x v="8"/>
    <n v="8371"/>
    <n v="960"/>
    <n v="548"/>
    <n v="2936"/>
    <n v="82543"/>
    <n v="119973"/>
    <s v="Apple Event September 2025"/>
  </r>
  <r>
    <s v="A216"/>
    <s v="Instagram"/>
    <s v="2024-07-29"/>
    <x v="1"/>
    <x v="0"/>
    <s v="#AppleWatchUltra2"/>
    <s v="#HealthTech"/>
    <x v="0"/>
    <n v="22590"/>
    <n v="1462"/>
    <n v="966"/>
    <n v="2463"/>
    <n v="29689"/>
    <n v="103449"/>
    <s v="Sustainability Awareness Drive"/>
  </r>
  <r>
    <s v="A217"/>
    <s v="LinkedIn"/>
    <d v="2025-09-26T00:00:00"/>
    <x v="3"/>
    <x v="0"/>
    <s v="#AppleWatchUltra2"/>
    <s v="#HealthTech"/>
    <x v="0"/>
    <n v="16369"/>
    <n v="1452"/>
    <n v="493"/>
    <n v="1217"/>
    <n v="91440"/>
    <n v="149834"/>
    <s v="Apple Event September 2025"/>
  </r>
  <r>
    <s v="A218"/>
    <s v="Instagram"/>
    <s v="2024-06-11"/>
    <x v="2"/>
    <x v="10"/>
    <s v="#MacBookProM3"/>
    <m/>
    <x v="9"/>
    <n v="14910"/>
    <n v="778"/>
    <n v="289"/>
    <n v="2541"/>
    <n v="14309"/>
    <n v="247815"/>
    <s v="Sustainability Awareness Drive"/>
  </r>
  <r>
    <s v="A219"/>
    <s v="LinkedIn"/>
    <s v="2025-01-28"/>
    <x v="3"/>
    <x v="5"/>
    <s v="#AppleMusic"/>
    <s v="#AppleLifestyle"/>
    <x v="5"/>
    <n v="9943"/>
    <n v="1274"/>
    <n v="336"/>
    <n v="389"/>
    <n v="6145"/>
    <n v="231305"/>
    <s v="Apple Watch Ultra 2 Launch"/>
  </r>
  <r>
    <s v="A220"/>
    <s v="YouTube"/>
    <s v="2024-06-02"/>
    <x v="2"/>
    <x v="1"/>
    <s v="#MacBookAirM3"/>
    <s v="#AppleInnovation"/>
    <x v="1"/>
    <n v="14199"/>
    <n v="1206"/>
    <n v="954"/>
    <n v="2009"/>
    <n v="8"/>
    <n v="65537"/>
    <s v="Sustainability Awareness Drive"/>
  </r>
  <r>
    <s v="A221"/>
    <s v="YouTube"/>
    <s v="2025-03-23"/>
    <x v="3"/>
    <x v="5"/>
    <s v="#AppleMusic"/>
    <s v="#AppleLifestyle"/>
    <x v="5"/>
    <n v="17728"/>
    <n v="1487"/>
    <n v="210"/>
    <n v="2469"/>
    <n v="30565"/>
    <n v="117576"/>
    <s v="Apple Watch Ultra 2 Launch"/>
  </r>
  <r>
    <s v="A222"/>
    <s v="YouTube"/>
    <s v="2024-10-08"/>
    <x v="1"/>
    <x v="10"/>
    <s v="#MacBookProM3"/>
    <m/>
    <x v="9"/>
    <n v="8738"/>
    <n v="295"/>
    <n v="529"/>
    <n v="442"/>
    <n v="25286"/>
    <n v="147522"/>
    <s v="iPhone 16 Launch"/>
  </r>
  <r>
    <s v="A223"/>
    <s v="Twitter"/>
    <s v="2024-11-12"/>
    <x v="2"/>
    <x v="2"/>
    <s v="#AppleDesign"/>
    <s v="#Innovation"/>
    <x v="2"/>
    <n v="17913"/>
    <n v="1311"/>
    <n v="859"/>
    <n v="405"/>
    <n v="59842"/>
    <n v="62612"/>
    <s v="Sustainability Awareness Drive"/>
  </r>
  <r>
    <s v="A224"/>
    <s v="LinkedIn"/>
    <d v="2025-09-07T00:00:00"/>
    <x v="1"/>
    <x v="11"/>
    <s v="#Sustainability"/>
    <s v="#AppleEarth"/>
    <x v="10"/>
    <n v="4472"/>
    <n v="1301"/>
    <n v="956"/>
    <n v="1186"/>
    <n v="3363"/>
    <n v="46471"/>
    <s v="Apple Event September 2025"/>
  </r>
  <r>
    <s v="A225"/>
    <s v="Twitter"/>
    <s v="2024-06-20"/>
    <x v="2"/>
    <x v="6"/>
    <s v="#AppleWatch"/>
    <s v="#Health"/>
    <x v="6"/>
    <n v="21123"/>
    <n v="1343"/>
    <n v="589"/>
    <n v="727"/>
    <n v="87833"/>
    <n v="206703"/>
    <s v="Apple Watch Ultra 2 Launch"/>
  </r>
  <r>
    <s v="A226"/>
    <s v="Twitter"/>
    <d v="2025-09-08T00:00:00"/>
    <x v="1"/>
    <x v="6"/>
    <s v="#AppleWatch"/>
    <s v="#Health"/>
    <x v="6"/>
    <n v="23785"/>
    <n v="1013"/>
    <n v="468"/>
    <n v="1628"/>
    <n v="8272"/>
    <n v="71348"/>
    <s v="Apple Event September 2025"/>
  </r>
  <r>
    <s v="A227"/>
    <s v="Instagram"/>
    <s v="2024-06-12"/>
    <x v="1"/>
    <x v="1"/>
    <s v="#MacBookAirM3"/>
    <s v="#AppleInnovation"/>
    <x v="1"/>
    <n v="17679"/>
    <n v="690"/>
    <n v="451"/>
    <n v="2195"/>
    <n v="4390"/>
    <n v="235804"/>
    <s v="MacBook Air M3 Campaign"/>
  </r>
  <r>
    <s v="A228"/>
    <s v="Twitter"/>
    <s v="2024-07-01"/>
    <x v="2"/>
    <x v="2"/>
    <s v="#AppleDesign"/>
    <s v="#Innovation"/>
    <x v="2"/>
    <n v="3761"/>
    <n v="651"/>
    <n v="493"/>
    <n v="2294"/>
    <n v="71696"/>
    <n v="41177"/>
    <s v="Apple Watch Ultra 2 Launch"/>
  </r>
  <r>
    <s v="A229"/>
    <s v="Instagram"/>
    <s v="2024-07-03"/>
    <x v="2"/>
    <x v="1"/>
    <s v="#MacBookAirM3"/>
    <s v="#AppleInnovation"/>
    <x v="1"/>
    <n v="12167"/>
    <n v="364"/>
    <n v="160"/>
    <n v="616"/>
    <n v="42228"/>
    <n v="175832"/>
    <s v="Sustainability Awareness Drive"/>
  </r>
  <r>
    <s v="A230"/>
    <s v="Instagram"/>
    <s v="2024-07-15"/>
    <x v="2"/>
    <x v="4"/>
    <s v="#ShotOniPhone"/>
    <m/>
    <x v="4"/>
    <n v="12554"/>
    <n v="381"/>
    <n v="211"/>
    <n v="2286"/>
    <n v="50567"/>
    <n v="72779"/>
    <s v="Apple Watch Ultra 2 Launch"/>
  </r>
  <r>
    <s v="A231"/>
    <s v="Twitter"/>
    <d v="2025-09-09T00:00:00"/>
    <x v="0"/>
    <x v="5"/>
    <s v="#AppleMusic"/>
    <s v="#AppleLifestyle"/>
    <x v="5"/>
    <n v="19260"/>
    <n v="668"/>
    <n v="994"/>
    <n v="934"/>
    <n v="20509"/>
    <n v="61636"/>
    <s v="Apple Event September 2025"/>
  </r>
  <r>
    <s v="A232"/>
    <s v="LinkedIn"/>
    <s v="2025-04-29"/>
    <x v="3"/>
    <x v="6"/>
    <s v="#AppleWatch"/>
    <s v="#Health"/>
    <x v="6"/>
    <n v="16277"/>
    <n v="1109"/>
    <n v="375"/>
    <n v="2225"/>
    <n v="1044"/>
    <n v="121889"/>
    <s v="iPhone 16 Launch"/>
  </r>
  <r>
    <s v="A233"/>
    <s v="LinkedIn"/>
    <s v="2025-03-08"/>
    <x v="0"/>
    <x v="0"/>
    <s v="#AppleWatchUltra2"/>
    <s v="#HealthTech"/>
    <x v="0"/>
    <n v="5812"/>
    <n v="934"/>
    <n v="302"/>
    <n v="2356"/>
    <n v="37437"/>
    <n v="93551"/>
    <s v="Apple Watch Ultra 2 Launch"/>
  </r>
  <r>
    <s v="A234"/>
    <s v="LinkedIn"/>
    <s v="2024-06-01"/>
    <x v="0"/>
    <x v="5"/>
    <s v="#AppleMusic"/>
    <s v="#AppleLifestyle"/>
    <x v="5"/>
    <n v="19844"/>
    <n v="1022"/>
    <n v="860"/>
    <n v="2570"/>
    <n v="23719"/>
    <n v="182628"/>
    <s v="Sustainability Awareness Drive"/>
  </r>
  <r>
    <s v="A235"/>
    <s v="LinkedIn"/>
    <s v="2024-12-22"/>
    <x v="1"/>
    <x v="3"/>
    <s v="#AppleEvent"/>
    <s v="#iPadPro"/>
    <x v="3"/>
    <n v="20117"/>
    <n v="1143"/>
    <n v="713"/>
    <n v="1739"/>
    <n v="34444"/>
    <n v="198670"/>
    <s v="MacBook Air M3 Campaign"/>
  </r>
  <r>
    <s v="A236"/>
    <s v="LinkedIn"/>
    <s v="2024-08-19"/>
    <x v="2"/>
    <x v="9"/>
    <s v="#iPhonePhotography"/>
    <s v="#ShotOniPhone"/>
    <x v="8"/>
    <n v="3605"/>
    <n v="206"/>
    <n v="921"/>
    <n v="852"/>
    <n v="11660"/>
    <n v="182635"/>
    <s v="iPhone 16 Launch"/>
  </r>
  <r>
    <s v="A237"/>
    <s v="Twitter"/>
    <s v="2024-10-22"/>
    <x v="3"/>
    <x v="2"/>
    <s v="#AppleDesign"/>
    <s v="#Innovation"/>
    <x v="2"/>
    <n v="7622"/>
    <n v="529"/>
    <n v="720"/>
    <n v="1015"/>
    <n v="71322"/>
    <n v="86819"/>
    <s v="MacBook Air M3 Campaign"/>
  </r>
  <r>
    <s v="A238"/>
    <s v="Twitter"/>
    <s v="2024-07-16"/>
    <x v="1"/>
    <x v="7"/>
    <s v="#iPhone16Launch"/>
    <s v="#AppleEvent"/>
    <x v="7"/>
    <n v="8767"/>
    <n v="974"/>
    <n v="733"/>
    <n v="1587"/>
    <n v="74927"/>
    <n v="113770"/>
    <s v="Apple Watch Ultra 2 Launch"/>
  </r>
  <r>
    <s v="A239"/>
    <s v="YouTube"/>
    <d v="2025-09-10T00:00:00"/>
    <x v="0"/>
    <x v="1"/>
    <s v="#MacBookAirM3"/>
    <s v="#AppleInnovation"/>
    <x v="1"/>
    <n v="13613"/>
    <n v="350"/>
    <n v="809"/>
    <n v="2013"/>
    <n v="20471"/>
    <n v="198038"/>
    <s v="Apple Event September 2025"/>
  </r>
  <r>
    <s v="A240"/>
    <s v="LinkedIn"/>
    <d v="2025-09-11T00:00:00"/>
    <x v="2"/>
    <x v="5"/>
    <s v="#AppleMusic"/>
    <s v="#AppleLifestyle"/>
    <x v="5"/>
    <n v="21901"/>
    <n v="1308"/>
    <n v="724"/>
    <n v="2183"/>
    <n v="15996"/>
    <n v="230961"/>
    <s v="Apple Event September 2025"/>
  </r>
  <r>
    <s v="A241"/>
    <s v="Twitter"/>
    <s v="2025-01-18"/>
    <x v="1"/>
    <x v="9"/>
    <s v="#iPhonePhotography"/>
    <s v="#ShotOniPhone"/>
    <x v="8"/>
    <n v="12589"/>
    <n v="346"/>
    <n v="459"/>
    <n v="1407"/>
    <n v="29254"/>
    <n v="198059"/>
    <s v="Sustainability Awareness Drive"/>
  </r>
  <r>
    <s v="A242"/>
    <s v="YouTube"/>
    <d v="2025-09-12T00:00:00"/>
    <x v="2"/>
    <x v="5"/>
    <s v="#AppleMusic"/>
    <s v="#AppleLifestyle"/>
    <x v="5"/>
    <n v="15918"/>
    <n v="1114"/>
    <n v="392"/>
    <n v="1641"/>
    <n v="28044"/>
    <n v="118714"/>
    <s v="Apple Event September 2025"/>
  </r>
  <r>
    <s v="A243"/>
    <s v="LinkedIn"/>
    <s v="2025-03-06"/>
    <x v="1"/>
    <x v="7"/>
    <s v="#iPhone16Launch"/>
    <s v="#AppleEvent"/>
    <x v="7"/>
    <n v="22119"/>
    <n v="899"/>
    <n v="642"/>
    <n v="410"/>
    <n v="49490"/>
    <n v="229420"/>
    <s v="iPhone 16 Launch"/>
  </r>
  <r>
    <s v="A244"/>
    <s v="Instagram"/>
    <d v="2025-09-13T00:00:00"/>
    <x v="2"/>
    <x v="9"/>
    <s v="#iPhonePhotography"/>
    <s v="#ShotOniPhone"/>
    <x v="8"/>
    <n v="15046"/>
    <n v="281"/>
    <n v="515"/>
    <n v="550"/>
    <n v="22583"/>
    <n v="64596"/>
    <s v="Apple Event September 2025"/>
  </r>
  <r>
    <s v="A245"/>
    <s v="YouTube"/>
    <s v="2025-01-12"/>
    <x v="0"/>
    <x v="3"/>
    <s v="#AppleEvent"/>
    <s v="#iPadPro"/>
    <x v="3"/>
    <n v="4590"/>
    <n v="713"/>
    <n v="479"/>
    <n v="2730"/>
    <n v="41050"/>
    <n v="204246"/>
    <s v="Sustainability Awareness Drive"/>
  </r>
  <r>
    <s v="A246"/>
    <s v="Twitter"/>
    <s v="2024-10-11"/>
    <x v="3"/>
    <x v="7"/>
    <s v="#iPhone16Launch"/>
    <s v="#AppleEvent"/>
    <x v="7"/>
    <n v="19447"/>
    <n v="1014"/>
    <n v="256"/>
    <n v="2354"/>
    <n v="5472"/>
    <n v="104106"/>
    <s v="Apple Watch Ultra 2 Launch"/>
  </r>
  <r>
    <s v="A247"/>
    <s v="Instagram"/>
    <s v="2024-08-27"/>
    <x v="0"/>
    <x v="10"/>
    <s v="#MacBookProM3"/>
    <m/>
    <x v="9"/>
    <n v="6324"/>
    <n v="908"/>
    <n v="375"/>
    <n v="758"/>
    <n v="34850"/>
    <n v="241039"/>
    <s v="Apple Watch Ultra 2 Launch"/>
  </r>
  <r>
    <s v="A248"/>
    <s v="Instagram"/>
    <d v="2025-09-14T00:00:00"/>
    <x v="3"/>
    <x v="8"/>
    <s v="#AppleEvent"/>
    <s v="#iPhone16"/>
    <x v="3"/>
    <n v="12787"/>
    <n v="945"/>
    <n v="974"/>
    <n v="1407"/>
    <n v="4037"/>
    <n v="99182"/>
    <s v="Apple Event September 2025"/>
  </r>
  <r>
    <s v="A249"/>
    <s v="Instagram"/>
    <s v="2024-07-18"/>
    <x v="2"/>
    <x v="10"/>
    <s v="#MacBookProM3"/>
    <m/>
    <x v="9"/>
    <n v="11111"/>
    <n v="1222"/>
    <n v="367"/>
    <n v="507"/>
    <n v="14129"/>
    <n v="127163"/>
    <s v="MacBook Air M3 Campaign"/>
  </r>
  <r>
    <s v="A250"/>
    <s v="YouTube"/>
    <s v="2024-06-22"/>
    <x v="1"/>
    <x v="6"/>
    <s v="#AppleWatch"/>
    <s v="#Health"/>
    <x v="6"/>
    <n v="7342"/>
    <n v="906"/>
    <n v="902"/>
    <n v="1199"/>
    <n v="68488"/>
    <n v="79310"/>
    <s v="Apple Watch Ultra 2 Launch"/>
  </r>
  <r>
    <s v="A251"/>
    <s v="Twitter"/>
    <d v="2025-09-15T00:00:00"/>
    <x v="0"/>
    <x v="5"/>
    <s v="#AppleMusic"/>
    <s v="#AppleLifestyle"/>
    <x v="5"/>
    <n v="18389"/>
    <n v="670"/>
    <n v="655"/>
    <n v="321"/>
    <n v="21869"/>
    <n v="96088"/>
    <s v="Apple Event September 2025"/>
  </r>
  <r>
    <s v="A252"/>
    <s v="Instagram"/>
    <s v="2025-04-28"/>
    <x v="3"/>
    <x v="8"/>
    <s v="#AppleEvent"/>
    <s v="#iPhone16"/>
    <x v="3"/>
    <n v="10659"/>
    <n v="1342"/>
    <n v="408"/>
    <n v="709"/>
    <n v="16309"/>
    <n v="168803"/>
    <s v="Sustainability Awareness Drive"/>
  </r>
  <r>
    <s v="A253"/>
    <s v="LinkedIn"/>
    <d v="2025-09-16T00:00:00"/>
    <x v="0"/>
    <x v="10"/>
    <s v="#MacBookProM3"/>
    <m/>
    <x v="9"/>
    <n v="16043"/>
    <n v="595"/>
    <n v="923"/>
    <n v="1194"/>
    <n v="52613"/>
    <n v="179978"/>
    <s v="Apple Event September 2025"/>
  </r>
  <r>
    <s v="A254"/>
    <s v="Instagram"/>
    <s v="2025-01-14"/>
    <x v="3"/>
    <x v="8"/>
    <s v="#AppleEvent"/>
    <s v="#iPhone16"/>
    <x v="3"/>
    <n v="24350"/>
    <n v="460"/>
    <n v="666"/>
    <n v="814"/>
    <n v="21120"/>
    <n v="76914"/>
    <s v="Apple Watch Ultra 2 Launch"/>
  </r>
  <r>
    <s v="A255"/>
    <s v="Instagram"/>
    <s v="2025-04-03"/>
    <x v="0"/>
    <x v="11"/>
    <s v="#Sustainability"/>
    <s v="#AppleEarth"/>
    <x v="10"/>
    <n v="10837"/>
    <n v="1004"/>
    <n v="922"/>
    <n v="1108"/>
    <n v="36807"/>
    <n v="150350"/>
    <s v="Sustainability Awareness Drive"/>
  </r>
  <r>
    <s v="A256"/>
    <s v="YouTube"/>
    <d v="2025-09-17T00:00:00"/>
    <x v="3"/>
    <x v="5"/>
    <s v="#AppleMusic"/>
    <s v="#AppleLifestyle"/>
    <x v="5"/>
    <n v="2117"/>
    <n v="1133"/>
    <n v="203"/>
    <n v="1173"/>
    <n v="40125"/>
    <n v="85379"/>
    <s v="Apple Event September 2025"/>
  </r>
  <r>
    <s v="A257"/>
    <s v="YouTube"/>
    <s v="2025-04-06"/>
    <x v="3"/>
    <x v="8"/>
    <s v="#AppleEvent"/>
    <s v="#iPhone16"/>
    <x v="3"/>
    <n v="15917"/>
    <n v="1479"/>
    <n v="196"/>
    <n v="313"/>
    <n v="48524"/>
    <n v="249684"/>
    <s v="iPhone 16 Launch"/>
  </r>
  <r>
    <s v="A258"/>
    <s v="Twitter"/>
    <s v="2024-08-05"/>
    <x v="2"/>
    <x v="0"/>
    <s v="#AppleWatchUltra2"/>
    <s v="#HealthTech"/>
    <x v="0"/>
    <n v="20935"/>
    <n v="1104"/>
    <n v="876"/>
    <n v="1270"/>
    <n v="21454"/>
    <n v="208722"/>
    <s v="Sustainability Awareness Drive"/>
  </r>
  <r>
    <s v="A259"/>
    <s v="LinkedIn"/>
    <s v="2025-02-10"/>
    <x v="3"/>
    <x v="1"/>
    <s v="#MacBookAirM3"/>
    <s v="#AppleInnovation"/>
    <x v="1"/>
    <n v="16309"/>
    <n v="1449"/>
    <n v="838"/>
    <n v="2434"/>
    <n v="2940"/>
    <n v="217953"/>
    <s v="iPhone 16 Launch"/>
  </r>
  <r>
    <s v="A260"/>
    <s v="YouTube"/>
    <s v="2025-02-12"/>
    <x v="2"/>
    <x v="1"/>
    <s v="#MacBookAirM3"/>
    <s v="#AppleInnovation"/>
    <x v="1"/>
    <n v="15234"/>
    <n v="1276"/>
    <n v="670"/>
    <n v="1860"/>
    <n v="60397"/>
    <n v="86413"/>
    <s v="MacBook Air M3 Campaign"/>
  </r>
  <r>
    <s v="A261"/>
    <s v="Instagram"/>
    <s v="2024-10-27"/>
    <x v="3"/>
    <x v="0"/>
    <s v="#AppleWatchUltra2"/>
    <s v="#HealthTech"/>
    <x v="0"/>
    <n v="7560"/>
    <n v="1139"/>
    <n v="248"/>
    <n v="1624"/>
    <n v="72237"/>
    <n v="177084"/>
    <s v="Sustainability Awareness Drive"/>
  </r>
  <r>
    <s v="A262"/>
    <s v="Twitter"/>
    <s v="2025-01-18"/>
    <x v="1"/>
    <x v="9"/>
    <s v="#iPhonePhotography"/>
    <s v="#ShotOniPhone"/>
    <x v="8"/>
    <n v="22673"/>
    <n v="1053"/>
    <n v="169"/>
    <n v="1566"/>
    <n v="9417"/>
    <n v="221187"/>
    <s v="iPhone 16 Launch"/>
  </r>
  <r>
    <s v="A263"/>
    <s v="Instagram"/>
    <s v="2024-08-20"/>
    <x v="1"/>
    <x v="4"/>
    <s v="#ShotOniPhone"/>
    <m/>
    <x v="4"/>
    <n v="2846"/>
    <n v="792"/>
    <n v="902"/>
    <n v="2469"/>
    <n v="12130"/>
    <n v="47151"/>
    <s v="Apple Watch Ultra 2 Launch"/>
  </r>
  <r>
    <s v="A264"/>
    <s v="Instagram"/>
    <s v="2025-01-30"/>
    <x v="1"/>
    <x v="9"/>
    <s v="#iPhonePhotography"/>
    <s v="#ShotOniPhone"/>
    <x v="8"/>
    <n v="12954"/>
    <n v="913"/>
    <n v="722"/>
    <n v="1049"/>
    <n v="475"/>
    <n v="97716"/>
    <s v="Apple Watch Ultra 2 Launch"/>
  </r>
  <r>
    <s v="A265"/>
    <s v="YouTube"/>
    <s v="2025-02-20"/>
    <x v="3"/>
    <x v="7"/>
    <s v="#iPhone16Launch"/>
    <s v="#AppleEvent"/>
    <x v="7"/>
    <n v="15703"/>
    <n v="1381"/>
    <n v="639"/>
    <n v="984"/>
    <n v="10967"/>
    <n v="133747"/>
    <s v="MacBook Air M3 Campaign"/>
  </r>
  <r>
    <s v="A266"/>
    <s v="Twitter"/>
    <s v="2024-11-25"/>
    <x v="2"/>
    <x v="7"/>
    <s v="#iPhone16Launch"/>
    <s v="#AppleEvent"/>
    <x v="7"/>
    <n v="17385"/>
    <n v="831"/>
    <n v="568"/>
    <n v="2227"/>
    <n v="49351"/>
    <n v="207450"/>
    <s v="Sustainability Awareness Drive"/>
  </r>
  <r>
    <s v="A267"/>
    <s v="LinkedIn"/>
    <s v="2024-10-04"/>
    <x v="2"/>
    <x v="8"/>
    <s v="#AppleEvent"/>
    <s v="#iPhone16"/>
    <x v="3"/>
    <n v="15746"/>
    <n v="258"/>
    <n v="839"/>
    <n v="2656"/>
    <n v="66614"/>
    <n v="213724"/>
    <s v="Sustainability Awareness Drive"/>
  </r>
  <r>
    <s v="A268"/>
    <s v="LinkedIn"/>
    <s v="2025-04-13"/>
    <x v="3"/>
    <x v="10"/>
    <s v="#MacBookProM3"/>
    <m/>
    <x v="9"/>
    <n v="24700"/>
    <n v="327"/>
    <n v="999"/>
    <n v="994"/>
    <n v="59400"/>
    <n v="243502"/>
    <s v="Sustainability Awareness Drive"/>
  </r>
  <r>
    <s v="A269"/>
    <s v="YouTube"/>
    <s v="2024-11-05"/>
    <x v="1"/>
    <x v="10"/>
    <s v="#MacBookProM3"/>
    <m/>
    <x v="9"/>
    <n v="8469"/>
    <n v="935"/>
    <n v="211"/>
    <n v="2635"/>
    <n v="21890"/>
    <n v="184539"/>
    <s v="MacBook Air M3 Campaign"/>
  </r>
  <r>
    <s v="A270"/>
    <s v="YouTube"/>
    <s v="2025-01-15"/>
    <x v="1"/>
    <x v="1"/>
    <s v="#MacBookAirM3"/>
    <s v="#AppleInnovation"/>
    <x v="1"/>
    <n v="11333"/>
    <n v="920"/>
    <n v="294"/>
    <n v="606"/>
    <n v="59490"/>
    <n v="202082"/>
    <s v="Sustainability Awareness Drive"/>
  </r>
  <r>
    <s v="A271"/>
    <s v="Twitter"/>
    <s v="2024-10-17"/>
    <x v="2"/>
    <x v="2"/>
    <s v="#AppleDesign"/>
    <s v="#Innovation"/>
    <x v="2"/>
    <n v="18608"/>
    <n v="1338"/>
    <n v="365"/>
    <n v="2289"/>
    <n v="20785"/>
    <n v="161999"/>
    <s v="Apple Watch Ultra 2 Launch"/>
  </r>
  <r>
    <s v="A272"/>
    <s v="LinkedIn"/>
    <s v="2025-03-27"/>
    <x v="1"/>
    <x v="9"/>
    <s v="#iPhonePhotography"/>
    <s v="#ShotOniPhone"/>
    <x v="8"/>
    <n v="14819"/>
    <n v="1432"/>
    <n v="152"/>
    <n v="961"/>
    <n v="39154"/>
    <n v="154793"/>
    <s v="iPhone 16 Launch"/>
  </r>
  <r>
    <s v="A273"/>
    <s v="LinkedIn"/>
    <s v="2024-10-12"/>
    <x v="0"/>
    <x v="11"/>
    <s v="#Sustainability"/>
    <s v="#AppleEarth"/>
    <x v="10"/>
    <n v="6208"/>
    <n v="725"/>
    <n v="309"/>
    <n v="848"/>
    <n v="39319"/>
    <n v="225763"/>
    <s v="Apple Watch Ultra 2 Launch"/>
  </r>
  <r>
    <s v="A274"/>
    <s v="LinkedIn"/>
    <s v="2025-01-01"/>
    <x v="2"/>
    <x v="5"/>
    <s v="#AppleMusic"/>
    <s v="#AppleLifestyle"/>
    <x v="5"/>
    <n v="8283"/>
    <n v="720"/>
    <n v="888"/>
    <n v="611"/>
    <n v="52791"/>
    <n v="235229"/>
    <s v="Apple Watch Ultra 2 Launch"/>
  </r>
  <r>
    <s v="A275"/>
    <s v="Instagram"/>
    <s v="2024-08-05"/>
    <x v="1"/>
    <x v="6"/>
    <s v="#AppleWatch"/>
    <s v="#Health"/>
    <x v="6"/>
    <n v="4048"/>
    <n v="751"/>
    <n v="930"/>
    <n v="1382"/>
    <n v="16844"/>
    <n v="148177"/>
    <s v="iPhone 16 Launch"/>
  </r>
  <r>
    <s v="A276"/>
    <s v="LinkedIn"/>
    <s v="2024-06-07"/>
    <x v="2"/>
    <x v="3"/>
    <s v="#AppleEvent"/>
    <s v="#iPadPro"/>
    <x v="3"/>
    <n v="8233"/>
    <n v="436"/>
    <n v="269"/>
    <n v="2037"/>
    <n v="8875"/>
    <n v="52289"/>
    <s v="Apple Watch Ultra 2 Launch"/>
  </r>
  <r>
    <s v="A277"/>
    <s v="Instagram"/>
    <s v="2025-04-06"/>
    <x v="0"/>
    <x v="10"/>
    <s v="#MacBookProM3"/>
    <m/>
    <x v="9"/>
    <n v="14941"/>
    <n v="1424"/>
    <n v="238"/>
    <n v="1054"/>
    <n v="20516"/>
    <n v="216048"/>
    <s v="MacBook Air M3 Campaign"/>
  </r>
  <r>
    <s v="A278"/>
    <s v="Twitter"/>
    <s v="2024-11-26"/>
    <x v="2"/>
    <x v="5"/>
    <s v="#AppleMusic"/>
    <s v="#AppleLifestyle"/>
    <x v="5"/>
    <n v="14607"/>
    <n v="1458"/>
    <n v="478"/>
    <n v="334"/>
    <n v="49257"/>
    <n v="214668"/>
    <s v="iPhone 16 Launch"/>
  </r>
  <r>
    <s v="A279"/>
    <s v="Instagram"/>
    <s v="2024-09-02"/>
    <x v="2"/>
    <x v="3"/>
    <s v="#AppleEvent"/>
    <s v="#iPadPro"/>
    <x v="3"/>
    <n v="11765"/>
    <n v="693"/>
    <n v="729"/>
    <n v="744"/>
    <n v="97772"/>
    <n v="194243"/>
    <s v="Apple Watch Ultra 2 Launch"/>
  </r>
  <r>
    <s v="A280"/>
    <s v="Twitter"/>
    <d v="2025-09-18T00:00:00"/>
    <x v="2"/>
    <x v="5"/>
    <s v="#AppleMusic"/>
    <s v="#AppleLifestyle"/>
    <x v="5"/>
    <n v="3828"/>
    <n v="203"/>
    <n v="506"/>
    <n v="2440"/>
    <n v="63650"/>
    <n v="126365"/>
    <s v="Apple Event September 2025"/>
  </r>
  <r>
    <s v="A281"/>
    <s v="LinkedIn"/>
    <s v="2025-03-22"/>
    <x v="2"/>
    <x v="8"/>
    <s v="#AppleEvent"/>
    <s v="#iPhone16"/>
    <x v="3"/>
    <n v="3917"/>
    <n v="865"/>
    <n v="759"/>
    <n v="2282"/>
    <n v="56125"/>
    <n v="154014"/>
    <s v="Apple Watch Ultra 2 Launch"/>
  </r>
  <r>
    <s v="A282"/>
    <s v="LinkedIn"/>
    <s v="2024-10-03"/>
    <x v="0"/>
    <x v="3"/>
    <s v="#AppleEvent"/>
    <s v="#iPadPro"/>
    <x v="3"/>
    <n v="22618"/>
    <n v="641"/>
    <n v="416"/>
    <n v="1530"/>
    <n v="18395"/>
    <n v="215211"/>
    <s v="MacBook Air M3 Campaign"/>
  </r>
  <r>
    <s v="A283"/>
    <s v="Twitter"/>
    <s v="2025-05-09"/>
    <x v="3"/>
    <x v="6"/>
    <s v="#AppleWatch"/>
    <s v="#Health"/>
    <x v="6"/>
    <n v="8988"/>
    <n v="228"/>
    <n v="766"/>
    <n v="652"/>
    <n v="63789"/>
    <n v="219785"/>
    <s v="Sustainability Awareness Drive"/>
  </r>
  <r>
    <s v="A284"/>
    <s v="YouTube"/>
    <s v="2024-09-17"/>
    <x v="2"/>
    <x v="5"/>
    <s v="#AppleMusic"/>
    <s v="#AppleLifestyle"/>
    <x v="5"/>
    <n v="20410"/>
    <n v="1332"/>
    <n v="472"/>
    <n v="1202"/>
    <n v="9418"/>
    <n v="200806"/>
    <s v="Apple Watch Ultra 2 Launch"/>
  </r>
  <r>
    <s v="A285"/>
    <s v="Twitter"/>
    <s v="2024-07-18"/>
    <x v="2"/>
    <x v="0"/>
    <s v="#AppleWatchUltra2"/>
    <s v="#HealthTech"/>
    <x v="0"/>
    <n v="16594"/>
    <n v="809"/>
    <n v="784"/>
    <n v="1655"/>
    <n v="35505"/>
    <n v="112588"/>
    <s v="Sustainability Awareness Drive"/>
  </r>
  <r>
    <s v="A286"/>
    <s v="YouTube"/>
    <d v="2025-09-19T00:00:00"/>
    <x v="1"/>
    <x v="6"/>
    <s v="#AppleWatch"/>
    <s v="#Health"/>
    <x v="6"/>
    <n v="22128"/>
    <n v="1004"/>
    <n v="690"/>
    <n v="2048"/>
    <n v="19443"/>
    <n v="103646"/>
    <s v="Apple Event September 2025"/>
  </r>
  <r>
    <s v="A287"/>
    <s v="Instagram"/>
    <s v="2024-08-15"/>
    <x v="2"/>
    <x v="3"/>
    <s v="#AppleEvent"/>
    <s v="#iPadPro"/>
    <x v="3"/>
    <n v="14977"/>
    <n v="274"/>
    <n v="798"/>
    <n v="458"/>
    <n v="6636"/>
    <n v="43654"/>
    <s v="Apple Watch Ultra 2 Launch"/>
  </r>
  <r>
    <s v="A288"/>
    <s v="Instagram"/>
    <s v="2025-04-17"/>
    <x v="1"/>
    <x v="6"/>
    <s v="#AppleWatch"/>
    <s v="#Health"/>
    <x v="6"/>
    <n v="2009"/>
    <n v="1037"/>
    <n v="344"/>
    <n v="2277"/>
    <n v="85743"/>
    <n v="58743"/>
    <s v="iPhone 16 Launch"/>
  </r>
  <r>
    <s v="A289"/>
    <s v="Instagram"/>
    <s v="2024-11-28"/>
    <x v="3"/>
    <x v="5"/>
    <s v="#AppleMusic"/>
    <s v="#AppleLifestyle"/>
    <x v="5"/>
    <n v="18644"/>
    <n v="1369"/>
    <n v="887"/>
    <n v="1256"/>
    <n v="43415"/>
    <n v="88368"/>
    <s v="Sustainability Awareness Drive"/>
  </r>
  <r>
    <s v="A290"/>
    <s v="LinkedIn"/>
    <d v="2025-09-20T00:00:00"/>
    <x v="0"/>
    <x v="4"/>
    <s v="#ShotOniPhone"/>
    <m/>
    <x v="4"/>
    <n v="24422"/>
    <n v="327"/>
    <n v="481"/>
    <n v="2371"/>
    <n v="35340"/>
    <n v="245244"/>
    <s v="Apple Event September 2025"/>
  </r>
  <r>
    <s v="A291"/>
    <s v="Instagram"/>
    <s v="2024-11-06"/>
    <x v="0"/>
    <x v="5"/>
    <s v="#AppleMusic"/>
    <s v="#AppleLifestyle"/>
    <x v="5"/>
    <n v="11865"/>
    <n v="241"/>
    <n v="319"/>
    <n v="703"/>
    <n v="69596"/>
    <n v="177513"/>
    <s v="iPhone 16 Launch"/>
  </r>
  <r>
    <s v="A292"/>
    <s v="YouTube"/>
    <s v="2024-11-17"/>
    <x v="3"/>
    <x v="5"/>
    <s v="#AppleMusic"/>
    <s v="#AppleLifestyle"/>
    <x v="5"/>
    <n v="4219"/>
    <n v="240"/>
    <n v="670"/>
    <n v="815"/>
    <n v="11978"/>
    <n v="159735"/>
    <s v="iPhone 16 Launch"/>
  </r>
  <r>
    <s v="A293"/>
    <s v="Instagram"/>
    <s v="2025-05-14"/>
    <x v="0"/>
    <x v="8"/>
    <s v="#AppleEvent"/>
    <s v="#iPhone16"/>
    <x v="3"/>
    <n v="9041"/>
    <n v="1133"/>
    <n v="612"/>
    <n v="1687"/>
    <n v="28102"/>
    <n v="195683"/>
    <s v="iPhone 16 Launch"/>
  </r>
  <r>
    <s v="A294"/>
    <s v="Twitter"/>
    <s v="2024-06-19"/>
    <x v="3"/>
    <x v="9"/>
    <s v="#iPhonePhotography"/>
    <s v="#ShotOniPhone"/>
    <x v="8"/>
    <n v="20444"/>
    <n v="233"/>
    <n v="189"/>
    <n v="2879"/>
    <n v="28185"/>
    <n v="159891"/>
    <s v="iPhone 16 Launch"/>
  </r>
  <r>
    <s v="A295"/>
    <s v="Twitter"/>
    <s v="2025-05-06"/>
    <x v="3"/>
    <x v="0"/>
    <s v="#AppleWatchUltra2"/>
    <s v="#HealthTech"/>
    <x v="0"/>
    <n v="7287"/>
    <n v="1240"/>
    <n v="686"/>
    <n v="1255"/>
    <n v="15403"/>
    <n v="147971"/>
    <s v="Apple Watch Ultra 2 Launch"/>
  </r>
  <r>
    <s v="A296"/>
    <s v="LinkedIn"/>
    <s v="2025-02-11"/>
    <x v="3"/>
    <x v="11"/>
    <s v="#Sustainability"/>
    <s v="#AppleEarth"/>
    <x v="10"/>
    <n v="3619"/>
    <n v="1376"/>
    <n v="410"/>
    <n v="2499"/>
    <n v="58146"/>
    <n v="52149"/>
    <s v="Apple Watch Ultra 2 Launch"/>
  </r>
  <r>
    <s v="A297"/>
    <s v="Twitter"/>
    <s v="2024-12-24"/>
    <x v="0"/>
    <x v="10"/>
    <s v="#MacBookProM3"/>
    <m/>
    <x v="9"/>
    <n v="10512"/>
    <n v="1197"/>
    <n v="544"/>
    <n v="2012"/>
    <n v="10245"/>
    <n v="140102"/>
    <s v="Apple Watch Ultra 2 Launch"/>
  </r>
  <r>
    <s v="A298"/>
    <s v="YouTube"/>
    <d v="2025-09-24T00:00:00"/>
    <x v="1"/>
    <x v="7"/>
    <s v="#iPhone16Launch"/>
    <s v="#AppleEvent"/>
    <x v="7"/>
    <n v="3342"/>
    <n v="787"/>
    <n v="375"/>
    <n v="907"/>
    <n v="85823"/>
    <n v="99189"/>
    <s v="Apple Event September 2025"/>
  </r>
  <r>
    <s v="A299"/>
    <s v="Instagram"/>
    <d v="2025-09-25T00:00:00"/>
    <x v="3"/>
    <x v="9"/>
    <s v="#iPhonePhotography"/>
    <s v="#ShotOniPhone"/>
    <x v="8"/>
    <n v="12568"/>
    <n v="541"/>
    <n v="273"/>
    <n v="2767"/>
    <n v="22331"/>
    <n v="192747"/>
    <s v="Apple Event September 2025"/>
  </r>
  <r>
    <s v="A300"/>
    <s v="LinkedIn"/>
    <d v="2025-09-26T00:00:00"/>
    <x v="2"/>
    <x v="7"/>
    <s v="#iPhone16Launch"/>
    <s v="#AppleEvent"/>
    <x v="7"/>
    <n v="21216"/>
    <n v="226"/>
    <n v="187"/>
    <n v="1573"/>
    <n v="62688"/>
    <n v="111031"/>
    <s v="Apple Event September 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408D5-50FB-4C2D-A79D-897135475633}" name="PivotTable2" cacheId="3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M5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 sortType="descending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</pivotFields>
  <rowItems count="1">
    <i/>
  </rowItems>
  <colFields count="1">
    <field x="7"/>
  </colFields>
  <colItems count="12">
    <i>
      <x v="1"/>
    </i>
    <i>
      <x v="3"/>
    </i>
    <i>
      <x v="2"/>
    </i>
    <i>
      <x v="5"/>
    </i>
    <i>
      <x v="7"/>
    </i>
    <i>
      <x v="6"/>
    </i>
    <i>
      <x/>
    </i>
    <i>
      <x v="4"/>
    </i>
    <i>
      <x v="8"/>
    </i>
    <i>
      <x v="9"/>
    </i>
    <i>
      <x v="10"/>
    </i>
    <i t="grand">
      <x/>
    </i>
  </colItems>
  <dataFields count="1">
    <dataField name="Count of Final hashtags" fld="7" subtotal="count" baseField="0" baseItem="0"/>
  </dataField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25A87-E9AB-446D-9979-2E9C16A26397}" name="PivotTable4" cacheId="3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16" firstHeaderRow="0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hares" fld="9" subtotal="average" baseField="0" baseItem="0" numFmtId="1"/>
    <dataField name="Average of Likes" fld="8" subtotal="average" baseField="0" baseItem="0" numFmtId="1"/>
    <dataField name="Average of Comments" fld="10" subtotal="average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E083B-07E4-4CEB-97EC-ED4A9B55DA3A}" name="PivotTable5" cacheId="3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7" firstHeaderRow="0" firstDataRow="1" firstDataCol="1"/>
  <pivotFields count="15"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h="1"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8" baseField="0" baseItem="0" numFmtId="1"/>
    <dataField name="Sum of Shares" fld="9" baseField="0" baseItem="0" numFmtId="1"/>
    <dataField name="Sum of Comments" fld="10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sqref="A1:M301"/>
    </sheetView>
  </sheetViews>
  <sheetFormatPr defaultColWidth="14.42578125" defaultRowHeight="15" customHeight="1"/>
  <cols>
    <col min="1" max="1" width="9" bestFit="1" customWidth="1"/>
    <col min="2" max="2" width="11.140625" customWidth="1"/>
    <col min="3" max="3" width="12.7109375" customWidth="1"/>
    <col min="4" max="4" width="14.85546875" customWidth="1"/>
    <col min="5" max="5" width="33.28515625" bestFit="1" customWidth="1"/>
    <col min="6" max="6" width="33.28515625" customWidth="1"/>
    <col min="7" max="7" width="10" customWidth="1"/>
    <col min="8" max="8" width="10.85546875" customWidth="1"/>
    <col min="9" max="9" width="14.140625" customWidth="1"/>
    <col min="10" max="10" width="12.140625" customWidth="1"/>
    <col min="11" max="11" width="12.7109375" customWidth="1"/>
    <col min="12" max="12" width="14.5703125" customWidth="1"/>
    <col min="13" max="13" width="27.5703125" bestFit="1" customWidth="1"/>
    <col min="14" max="27" width="8.7109375" customWidth="1"/>
  </cols>
  <sheetData>
    <row r="1" spans="1:13" ht="14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6" t="s">
        <v>12</v>
      </c>
    </row>
    <row r="2" spans="1:13" ht="14.25" customHeight="1">
      <c r="A2" s="2" t="s">
        <v>13</v>
      </c>
      <c r="B2" s="2" t="s">
        <v>14</v>
      </c>
      <c r="C2" s="3" t="s">
        <v>15</v>
      </c>
      <c r="D2" s="2" t="s">
        <v>16</v>
      </c>
      <c r="E2" s="2" t="s">
        <v>17</v>
      </c>
      <c r="F2" s="2" t="s">
        <v>18</v>
      </c>
      <c r="G2" s="8">
        <v>24516</v>
      </c>
      <c r="H2" s="8">
        <v>976</v>
      </c>
      <c r="I2" s="8">
        <v>974</v>
      </c>
      <c r="J2" s="8">
        <v>2675</v>
      </c>
      <c r="K2" s="9">
        <v>23275</v>
      </c>
      <c r="L2" s="2">
        <v>202932</v>
      </c>
      <c r="M2" s="2" t="s">
        <v>19</v>
      </c>
    </row>
    <row r="3" spans="1:13" ht="14.25" customHeight="1">
      <c r="A3" s="2" t="s">
        <v>20</v>
      </c>
      <c r="B3" s="2" t="s">
        <v>21</v>
      </c>
      <c r="C3" s="4">
        <v>45903</v>
      </c>
      <c r="D3" s="2" t="s">
        <v>16</v>
      </c>
      <c r="E3" s="2" t="s">
        <v>22</v>
      </c>
      <c r="F3" s="2" t="s">
        <v>23</v>
      </c>
      <c r="G3" s="8">
        <v>4779</v>
      </c>
      <c r="H3" s="8">
        <v>1110</v>
      </c>
      <c r="I3" s="8">
        <v>436</v>
      </c>
      <c r="J3" s="8">
        <v>1574</v>
      </c>
      <c r="K3" s="9">
        <v>77167</v>
      </c>
      <c r="L3" s="2">
        <v>71585</v>
      </c>
      <c r="M3" s="2" t="s">
        <v>24</v>
      </c>
    </row>
    <row r="4" spans="1:13" ht="14.25" customHeight="1">
      <c r="A4" s="2" t="s">
        <v>25</v>
      </c>
      <c r="B4" s="2" t="s">
        <v>26</v>
      </c>
      <c r="C4" s="3" t="s">
        <v>27</v>
      </c>
      <c r="D4" s="2" t="s">
        <v>28</v>
      </c>
      <c r="E4" s="2" t="s">
        <v>29</v>
      </c>
      <c r="F4" s="2" t="s">
        <v>30</v>
      </c>
      <c r="G4" s="8">
        <v>19308</v>
      </c>
      <c r="H4" s="8">
        <v>1318</v>
      </c>
      <c r="I4" s="8">
        <v>795</v>
      </c>
      <c r="J4" s="8">
        <v>1499</v>
      </c>
      <c r="K4" s="9">
        <v>52307</v>
      </c>
      <c r="L4" s="2">
        <v>193087</v>
      </c>
      <c r="M4" s="2" t="s">
        <v>31</v>
      </c>
    </row>
    <row r="5" spans="1:13" ht="14.25" customHeight="1">
      <c r="A5" s="2" t="s">
        <v>32</v>
      </c>
      <c r="B5" s="2" t="s">
        <v>14</v>
      </c>
      <c r="C5" s="3" t="s">
        <v>33</v>
      </c>
      <c r="D5" s="2" t="s">
        <v>34</v>
      </c>
      <c r="E5" s="2" t="s">
        <v>35</v>
      </c>
      <c r="F5" s="2" t="s">
        <v>36</v>
      </c>
      <c r="G5" s="8">
        <v>3581</v>
      </c>
      <c r="H5" s="8">
        <v>517</v>
      </c>
      <c r="I5" s="8">
        <v>880</v>
      </c>
      <c r="J5" s="8">
        <v>1925</v>
      </c>
      <c r="K5" s="9">
        <v>18636</v>
      </c>
      <c r="L5" s="2">
        <v>248611</v>
      </c>
      <c r="M5" s="2" t="s">
        <v>37</v>
      </c>
    </row>
    <row r="6" spans="1:13" ht="14.25" customHeight="1">
      <c r="A6" s="2" t="s">
        <v>38</v>
      </c>
      <c r="B6" s="2" t="s">
        <v>14</v>
      </c>
      <c r="C6" s="4">
        <v>45904</v>
      </c>
      <c r="D6" s="2" t="s">
        <v>34</v>
      </c>
      <c r="E6" s="2" t="s">
        <v>17</v>
      </c>
      <c r="F6" s="2" t="s">
        <v>18</v>
      </c>
      <c r="G6" s="8">
        <v>21708</v>
      </c>
      <c r="H6" s="8">
        <v>435</v>
      </c>
      <c r="I6" s="8">
        <v>317</v>
      </c>
      <c r="J6" s="8">
        <v>1213</v>
      </c>
      <c r="K6" s="9">
        <v>70701</v>
      </c>
      <c r="L6" s="2">
        <v>83585</v>
      </c>
      <c r="M6" s="2" t="s">
        <v>24</v>
      </c>
    </row>
    <row r="7" spans="1:13" ht="14.25" customHeight="1">
      <c r="A7" s="2" t="s">
        <v>39</v>
      </c>
      <c r="B7" s="2" t="s">
        <v>21</v>
      </c>
      <c r="C7" s="4">
        <v>45905</v>
      </c>
      <c r="D7" s="2" t="s">
        <v>16</v>
      </c>
      <c r="E7" s="2" t="s">
        <v>40</v>
      </c>
      <c r="F7" s="2"/>
      <c r="G7" s="8">
        <v>14677</v>
      </c>
      <c r="H7" s="8">
        <v>533</v>
      </c>
      <c r="I7" s="8">
        <v>759</v>
      </c>
      <c r="J7" s="8">
        <v>753</v>
      </c>
      <c r="K7" s="9">
        <v>23275</v>
      </c>
      <c r="L7" s="2">
        <v>66958</v>
      </c>
      <c r="M7" s="2" t="s">
        <v>24</v>
      </c>
    </row>
    <row r="8" spans="1:13" ht="14.25" customHeight="1">
      <c r="A8" s="2" t="s">
        <v>41</v>
      </c>
      <c r="B8" s="2" t="s">
        <v>26</v>
      </c>
      <c r="C8" s="3" t="s">
        <v>42</v>
      </c>
      <c r="D8" s="2" t="s">
        <v>43</v>
      </c>
      <c r="E8" s="2" t="s">
        <v>44</v>
      </c>
      <c r="F8" s="2" t="s">
        <v>45</v>
      </c>
      <c r="G8" s="8">
        <v>7713</v>
      </c>
      <c r="H8" s="8">
        <v>575</v>
      </c>
      <c r="I8" s="8">
        <v>417</v>
      </c>
      <c r="J8" s="8">
        <v>336</v>
      </c>
      <c r="K8" s="9">
        <v>61660</v>
      </c>
      <c r="L8" s="2">
        <v>66017</v>
      </c>
      <c r="M8" s="2" t="s">
        <v>37</v>
      </c>
    </row>
    <row r="9" spans="1:13" ht="14.25" customHeight="1">
      <c r="A9" s="2" t="s">
        <v>46</v>
      </c>
      <c r="B9" s="2" t="s">
        <v>26</v>
      </c>
      <c r="C9" s="3" t="s">
        <v>47</v>
      </c>
      <c r="D9" s="2" t="s">
        <v>34</v>
      </c>
      <c r="E9" s="2" t="s">
        <v>48</v>
      </c>
      <c r="F9" s="2" t="s">
        <v>49</v>
      </c>
      <c r="G9" s="8">
        <v>18639</v>
      </c>
      <c r="H9" s="8">
        <v>1360</v>
      </c>
      <c r="I9" s="8">
        <v>898</v>
      </c>
      <c r="J9" s="8">
        <v>2011</v>
      </c>
      <c r="K9" s="9">
        <v>42841</v>
      </c>
      <c r="L9" s="2">
        <v>247779</v>
      </c>
      <c r="M9" s="2" t="s">
        <v>37</v>
      </c>
    </row>
    <row r="10" spans="1:13" ht="14.25" customHeight="1">
      <c r="A10" s="2" t="s">
        <v>50</v>
      </c>
      <c r="B10" s="2" t="s">
        <v>14</v>
      </c>
      <c r="C10" s="3" t="s">
        <v>51</v>
      </c>
      <c r="D10" s="2" t="s">
        <v>43</v>
      </c>
      <c r="E10" s="2" t="s">
        <v>22</v>
      </c>
      <c r="F10" s="2" t="s">
        <v>23</v>
      </c>
      <c r="G10" s="8">
        <v>6804</v>
      </c>
      <c r="H10" s="8">
        <v>787</v>
      </c>
      <c r="I10" s="8">
        <v>970</v>
      </c>
      <c r="J10" s="8">
        <v>1095</v>
      </c>
      <c r="K10" s="9">
        <v>56343</v>
      </c>
      <c r="L10" s="2">
        <v>164677</v>
      </c>
      <c r="M10" s="2" t="s">
        <v>19</v>
      </c>
    </row>
    <row r="11" spans="1:13" ht="14.25" customHeight="1">
      <c r="A11" s="2" t="s">
        <v>52</v>
      </c>
      <c r="B11" s="2" t="s">
        <v>53</v>
      </c>
      <c r="C11" s="3" t="s">
        <v>54</v>
      </c>
      <c r="D11" s="2" t="s">
        <v>34</v>
      </c>
      <c r="E11" s="2" t="s">
        <v>55</v>
      </c>
      <c r="F11" s="2" t="s">
        <v>35</v>
      </c>
      <c r="G11" s="8">
        <v>20222</v>
      </c>
      <c r="H11" s="8">
        <v>712</v>
      </c>
      <c r="I11" s="8">
        <v>604</v>
      </c>
      <c r="J11" s="8">
        <v>1272</v>
      </c>
      <c r="K11" s="9">
        <v>71598</v>
      </c>
      <c r="L11" s="2">
        <v>216422</v>
      </c>
      <c r="M11" s="2" t="s">
        <v>31</v>
      </c>
    </row>
    <row r="12" spans="1:13" ht="14.25" customHeight="1">
      <c r="A12" s="2" t="s">
        <v>56</v>
      </c>
      <c r="B12" s="2" t="s">
        <v>14</v>
      </c>
      <c r="C12" s="3" t="s">
        <v>57</v>
      </c>
      <c r="D12" s="2" t="s">
        <v>43</v>
      </c>
      <c r="E12" s="2" t="s">
        <v>35</v>
      </c>
      <c r="F12" s="2" t="s">
        <v>36</v>
      </c>
      <c r="G12" s="8">
        <v>12136</v>
      </c>
      <c r="H12" s="8">
        <v>1117</v>
      </c>
      <c r="I12" s="8">
        <v>834</v>
      </c>
      <c r="J12" s="8">
        <v>892</v>
      </c>
      <c r="K12" s="9">
        <v>24675</v>
      </c>
      <c r="L12" s="2">
        <v>183273</v>
      </c>
      <c r="M12" s="2" t="s">
        <v>31</v>
      </c>
    </row>
    <row r="13" spans="1:13" ht="14.25" customHeight="1">
      <c r="A13" s="2" t="s">
        <v>58</v>
      </c>
      <c r="B13" s="2" t="s">
        <v>14</v>
      </c>
      <c r="C13" s="3" t="s">
        <v>59</v>
      </c>
      <c r="D13" s="2" t="s">
        <v>28</v>
      </c>
      <c r="E13" s="2" t="s">
        <v>22</v>
      </c>
      <c r="F13" s="2" t="s">
        <v>23</v>
      </c>
      <c r="G13" s="8">
        <v>2009</v>
      </c>
      <c r="H13" s="8">
        <v>1072</v>
      </c>
      <c r="I13" s="8">
        <v>550</v>
      </c>
      <c r="J13" s="8">
        <v>1437</v>
      </c>
      <c r="K13" s="9">
        <v>22982</v>
      </c>
      <c r="L13" s="2">
        <v>69426</v>
      </c>
      <c r="M13" s="2" t="s">
        <v>37</v>
      </c>
    </row>
    <row r="14" spans="1:13" ht="14.25" customHeight="1">
      <c r="A14" s="2" t="s">
        <v>60</v>
      </c>
      <c r="B14" s="2" t="s">
        <v>14</v>
      </c>
      <c r="C14" s="3" t="s">
        <v>61</v>
      </c>
      <c r="D14" s="2" t="s">
        <v>43</v>
      </c>
      <c r="E14" s="2" t="s">
        <v>44</v>
      </c>
      <c r="F14" s="2" t="s">
        <v>45</v>
      </c>
      <c r="G14" s="8">
        <v>21255</v>
      </c>
      <c r="H14" s="8">
        <v>1452</v>
      </c>
      <c r="I14" s="8">
        <v>625</v>
      </c>
      <c r="J14" s="8">
        <v>1624</v>
      </c>
      <c r="K14" s="9">
        <v>21282</v>
      </c>
      <c r="L14" s="2">
        <v>57778</v>
      </c>
      <c r="M14" s="2" t="s">
        <v>62</v>
      </c>
    </row>
    <row r="15" spans="1:13" ht="14.25" customHeight="1">
      <c r="A15" s="2" t="s">
        <v>63</v>
      </c>
      <c r="B15" s="2" t="s">
        <v>14</v>
      </c>
      <c r="C15" s="4">
        <v>45906</v>
      </c>
      <c r="D15" s="2" t="s">
        <v>28</v>
      </c>
      <c r="E15" s="2" t="s">
        <v>48</v>
      </c>
      <c r="F15" s="2" t="s">
        <v>49</v>
      </c>
      <c r="G15" s="8">
        <v>7124</v>
      </c>
      <c r="H15" s="8">
        <v>469</v>
      </c>
      <c r="I15" s="8">
        <v>851</v>
      </c>
      <c r="J15" s="8">
        <v>2571</v>
      </c>
      <c r="K15" s="9">
        <v>33802</v>
      </c>
      <c r="L15" s="2">
        <v>216313</v>
      </c>
      <c r="M15" s="2" t="s">
        <v>24</v>
      </c>
    </row>
    <row r="16" spans="1:13" ht="14.25" customHeight="1">
      <c r="A16" s="2" t="s">
        <v>64</v>
      </c>
      <c r="B16" s="2" t="s">
        <v>21</v>
      </c>
      <c r="C16" s="4">
        <v>45907</v>
      </c>
      <c r="D16" s="2" t="s">
        <v>28</v>
      </c>
      <c r="E16" s="2" t="s">
        <v>29</v>
      </c>
      <c r="F16" s="2" t="s">
        <v>30</v>
      </c>
      <c r="G16" s="8">
        <v>3015</v>
      </c>
      <c r="H16" s="8">
        <v>997</v>
      </c>
      <c r="I16" s="8">
        <v>783</v>
      </c>
      <c r="J16" s="8">
        <v>617</v>
      </c>
      <c r="K16" s="9">
        <v>77167</v>
      </c>
      <c r="L16" s="2">
        <v>82229</v>
      </c>
      <c r="M16" s="2" t="s">
        <v>24</v>
      </c>
    </row>
    <row r="17" spans="1:13" ht="14.25" customHeight="1">
      <c r="A17" s="2" t="s">
        <v>65</v>
      </c>
      <c r="B17" s="2" t="s">
        <v>26</v>
      </c>
      <c r="C17" s="3" t="s">
        <v>66</v>
      </c>
      <c r="D17" s="2" t="s">
        <v>43</v>
      </c>
      <c r="E17" s="2" t="s">
        <v>48</v>
      </c>
      <c r="F17" s="2" t="s">
        <v>49</v>
      </c>
      <c r="G17" s="8">
        <v>4193</v>
      </c>
      <c r="H17" s="8">
        <v>924</v>
      </c>
      <c r="I17" s="8">
        <v>707</v>
      </c>
      <c r="J17" s="8">
        <v>2696</v>
      </c>
      <c r="K17" s="9">
        <v>55075</v>
      </c>
      <c r="L17" s="2">
        <v>126652</v>
      </c>
      <c r="M17" s="2" t="s">
        <v>37</v>
      </c>
    </row>
    <row r="18" spans="1:13" ht="14.25" customHeight="1">
      <c r="A18" s="2" t="s">
        <v>67</v>
      </c>
      <c r="B18" s="2" t="s">
        <v>21</v>
      </c>
      <c r="C18" s="3" t="s">
        <v>68</v>
      </c>
      <c r="D18" s="2" t="s">
        <v>28</v>
      </c>
      <c r="E18" s="2" t="s">
        <v>35</v>
      </c>
      <c r="F18" s="2" t="s">
        <v>69</v>
      </c>
      <c r="G18" s="8">
        <v>10415</v>
      </c>
      <c r="H18" s="8">
        <v>1388</v>
      </c>
      <c r="I18" s="8">
        <v>725</v>
      </c>
      <c r="J18" s="8">
        <v>2462</v>
      </c>
      <c r="K18" s="9">
        <v>53082</v>
      </c>
      <c r="L18" s="2">
        <v>168267</v>
      </c>
      <c r="M18" s="2" t="s">
        <v>62</v>
      </c>
    </row>
    <row r="19" spans="1:13" ht="14.25" customHeight="1">
      <c r="A19" s="2" t="s">
        <v>70</v>
      </c>
      <c r="B19" s="2" t="s">
        <v>21</v>
      </c>
      <c r="C19" s="3" t="s">
        <v>71</v>
      </c>
      <c r="D19" s="2" t="s">
        <v>16</v>
      </c>
      <c r="E19" s="2" t="s">
        <v>48</v>
      </c>
      <c r="F19" s="2" t="s">
        <v>49</v>
      </c>
      <c r="G19" s="8">
        <v>15550</v>
      </c>
      <c r="H19" s="8">
        <v>204</v>
      </c>
      <c r="I19" s="8">
        <v>279</v>
      </c>
      <c r="J19" s="8">
        <v>1646</v>
      </c>
      <c r="K19" s="9">
        <v>35819</v>
      </c>
      <c r="L19" s="2">
        <v>219436</v>
      </c>
      <c r="M19" s="2" t="s">
        <v>19</v>
      </c>
    </row>
    <row r="20" spans="1:13" ht="14.25" customHeight="1">
      <c r="A20" s="2" t="s">
        <v>72</v>
      </c>
      <c r="B20" s="2" t="s">
        <v>21</v>
      </c>
      <c r="C20" s="3" t="s">
        <v>73</v>
      </c>
      <c r="D20" s="2" t="s">
        <v>28</v>
      </c>
      <c r="E20" s="2" t="s">
        <v>35</v>
      </c>
      <c r="F20" s="2" t="s">
        <v>69</v>
      </c>
      <c r="G20" s="8">
        <v>16512</v>
      </c>
      <c r="H20" s="8">
        <v>1050</v>
      </c>
      <c r="I20" s="8">
        <v>971</v>
      </c>
      <c r="J20" s="8">
        <v>1891</v>
      </c>
      <c r="K20" s="9">
        <v>15865</v>
      </c>
      <c r="L20" s="2">
        <v>166503</v>
      </c>
      <c r="M20" s="2" t="s">
        <v>37</v>
      </c>
    </row>
    <row r="21" spans="1:13" ht="14.25" customHeight="1">
      <c r="A21" s="2" t="s">
        <v>74</v>
      </c>
      <c r="B21" s="2" t="s">
        <v>14</v>
      </c>
      <c r="C21" s="3" t="s">
        <v>75</v>
      </c>
      <c r="D21" s="2" t="s">
        <v>34</v>
      </c>
      <c r="E21" s="2" t="s">
        <v>29</v>
      </c>
      <c r="F21" s="2" t="s">
        <v>30</v>
      </c>
      <c r="G21" s="8">
        <v>6158</v>
      </c>
      <c r="H21" s="8">
        <v>277</v>
      </c>
      <c r="I21" s="8">
        <v>512</v>
      </c>
      <c r="J21" s="8">
        <v>2189</v>
      </c>
      <c r="K21" s="9">
        <v>76881</v>
      </c>
      <c r="L21" s="2">
        <v>124878</v>
      </c>
      <c r="M21" s="2" t="s">
        <v>37</v>
      </c>
    </row>
    <row r="22" spans="1:13" ht="14.25" customHeight="1">
      <c r="A22" s="2" t="s">
        <v>76</v>
      </c>
      <c r="B22" s="2" t="s">
        <v>53</v>
      </c>
      <c r="C22" s="4">
        <v>45908</v>
      </c>
      <c r="D22" s="2" t="s">
        <v>43</v>
      </c>
      <c r="E22" s="2" t="s">
        <v>77</v>
      </c>
      <c r="F22" s="2" t="s">
        <v>40</v>
      </c>
      <c r="G22" s="8">
        <v>22309</v>
      </c>
      <c r="H22" s="8">
        <v>773</v>
      </c>
      <c r="I22" s="8">
        <v>854</v>
      </c>
      <c r="J22" s="8">
        <v>2387</v>
      </c>
      <c r="K22" s="9">
        <v>72396</v>
      </c>
      <c r="L22" s="2">
        <v>97056</v>
      </c>
      <c r="M22" s="2" t="s">
        <v>24</v>
      </c>
    </row>
    <row r="23" spans="1:13" ht="14.25" customHeight="1">
      <c r="A23" s="2" t="s">
        <v>78</v>
      </c>
      <c r="B23" s="2" t="s">
        <v>26</v>
      </c>
      <c r="C23" s="3" t="s">
        <v>79</v>
      </c>
      <c r="D23" s="2" t="s">
        <v>16</v>
      </c>
      <c r="E23" s="2" t="s">
        <v>44</v>
      </c>
      <c r="F23" s="2" t="s">
        <v>45</v>
      </c>
      <c r="G23" s="8">
        <v>8970</v>
      </c>
      <c r="H23" s="8">
        <v>331</v>
      </c>
      <c r="I23" s="8">
        <v>968</v>
      </c>
      <c r="J23" s="8">
        <v>2296</v>
      </c>
      <c r="K23" s="9">
        <v>24613</v>
      </c>
      <c r="L23" s="2">
        <v>198562</v>
      </c>
      <c r="M23" s="2" t="s">
        <v>37</v>
      </c>
    </row>
    <row r="24" spans="1:13" ht="14.25" customHeight="1">
      <c r="A24" s="2" t="s">
        <v>80</v>
      </c>
      <c r="B24" s="2" t="s">
        <v>53</v>
      </c>
      <c r="C24" s="3" t="s">
        <v>81</v>
      </c>
      <c r="D24" s="2" t="s">
        <v>43</v>
      </c>
      <c r="E24" s="2" t="s">
        <v>35</v>
      </c>
      <c r="F24" s="2" t="s">
        <v>69</v>
      </c>
      <c r="G24" s="8">
        <v>8938</v>
      </c>
      <c r="H24" s="8">
        <v>800</v>
      </c>
      <c r="I24" s="8">
        <v>842</v>
      </c>
      <c r="J24" s="8">
        <v>2072</v>
      </c>
      <c r="K24" s="9">
        <v>31736</v>
      </c>
      <c r="L24" s="2">
        <v>59975</v>
      </c>
      <c r="M24" s="2" t="s">
        <v>37</v>
      </c>
    </row>
    <row r="25" spans="1:13" ht="14.25" customHeight="1">
      <c r="A25" s="2" t="s">
        <v>82</v>
      </c>
      <c r="B25" s="2" t="s">
        <v>21</v>
      </c>
      <c r="C25" s="3" t="s">
        <v>83</v>
      </c>
      <c r="D25" s="2" t="s">
        <v>34</v>
      </c>
      <c r="E25" s="2" t="s">
        <v>55</v>
      </c>
      <c r="F25" s="2" t="s">
        <v>35</v>
      </c>
      <c r="G25" s="8">
        <v>23168</v>
      </c>
      <c r="H25" s="8">
        <v>1265</v>
      </c>
      <c r="I25" s="8">
        <v>441</v>
      </c>
      <c r="J25" s="8">
        <v>1612</v>
      </c>
      <c r="K25" s="9">
        <v>66615</v>
      </c>
      <c r="L25" s="2">
        <v>197795</v>
      </c>
      <c r="M25" s="2" t="s">
        <v>37</v>
      </c>
    </row>
    <row r="26" spans="1:13" ht="14.25" customHeight="1">
      <c r="A26" s="2" t="s">
        <v>84</v>
      </c>
      <c r="B26" s="2" t="s">
        <v>21</v>
      </c>
      <c r="C26" s="4">
        <v>45909</v>
      </c>
      <c r="D26" s="2" t="s">
        <v>34</v>
      </c>
      <c r="E26" s="2" t="s">
        <v>48</v>
      </c>
      <c r="F26" s="2" t="s">
        <v>49</v>
      </c>
      <c r="G26" s="8">
        <v>15772</v>
      </c>
      <c r="H26" s="8">
        <v>288</v>
      </c>
      <c r="I26" s="8">
        <v>520</v>
      </c>
      <c r="J26" s="8">
        <v>1585</v>
      </c>
      <c r="K26" s="9">
        <v>59182</v>
      </c>
      <c r="L26" s="2">
        <v>194351</v>
      </c>
      <c r="M26" s="2" t="s">
        <v>24</v>
      </c>
    </row>
    <row r="27" spans="1:13" ht="14.25" customHeight="1">
      <c r="A27" s="2" t="s">
        <v>85</v>
      </c>
      <c r="B27" s="2" t="s">
        <v>53</v>
      </c>
      <c r="C27" s="3" t="s">
        <v>86</v>
      </c>
      <c r="D27" s="2" t="s">
        <v>34</v>
      </c>
      <c r="E27" s="2" t="s">
        <v>48</v>
      </c>
      <c r="F27" s="2" t="s">
        <v>49</v>
      </c>
      <c r="G27" s="8">
        <v>22384</v>
      </c>
      <c r="H27" s="8">
        <v>601</v>
      </c>
      <c r="I27" s="8">
        <v>943</v>
      </c>
      <c r="J27" s="8">
        <v>515</v>
      </c>
      <c r="K27" s="9">
        <v>41309</v>
      </c>
      <c r="L27" s="2">
        <v>249373</v>
      </c>
      <c r="M27" s="2" t="s">
        <v>19</v>
      </c>
    </row>
    <row r="28" spans="1:13" ht="14.25" customHeight="1">
      <c r="A28" s="2" t="s">
        <v>87</v>
      </c>
      <c r="B28" s="2" t="s">
        <v>53</v>
      </c>
      <c r="C28" s="3" t="s">
        <v>88</v>
      </c>
      <c r="D28" s="2" t="s">
        <v>28</v>
      </c>
      <c r="E28" s="2" t="s">
        <v>55</v>
      </c>
      <c r="F28" s="2" t="s">
        <v>35</v>
      </c>
      <c r="G28" s="8">
        <v>20017</v>
      </c>
      <c r="H28" s="8">
        <v>495</v>
      </c>
      <c r="I28" s="8">
        <v>178</v>
      </c>
      <c r="J28" s="8">
        <v>2683</v>
      </c>
      <c r="K28" s="9">
        <v>32244</v>
      </c>
      <c r="L28" s="2">
        <v>182633</v>
      </c>
      <c r="M28" s="2" t="s">
        <v>19</v>
      </c>
    </row>
    <row r="29" spans="1:13" ht="14.25" customHeight="1">
      <c r="A29" s="2" t="s">
        <v>89</v>
      </c>
      <c r="B29" s="2" t="s">
        <v>53</v>
      </c>
      <c r="C29" s="3" t="s">
        <v>90</v>
      </c>
      <c r="D29" s="2" t="s">
        <v>28</v>
      </c>
      <c r="E29" s="2" t="s">
        <v>40</v>
      </c>
      <c r="F29" s="2"/>
      <c r="G29" s="8">
        <v>12344</v>
      </c>
      <c r="H29" s="8">
        <v>815</v>
      </c>
      <c r="I29" s="8">
        <v>298</v>
      </c>
      <c r="J29" s="8">
        <v>2439</v>
      </c>
      <c r="K29" s="9">
        <v>6259</v>
      </c>
      <c r="L29" s="2">
        <v>237133</v>
      </c>
      <c r="M29" s="2" t="s">
        <v>37</v>
      </c>
    </row>
    <row r="30" spans="1:13" ht="14.25" customHeight="1">
      <c r="A30" s="2" t="s">
        <v>91</v>
      </c>
      <c r="B30" s="2" t="s">
        <v>21</v>
      </c>
      <c r="C30" s="4">
        <v>45910</v>
      </c>
      <c r="D30" s="2" t="s">
        <v>43</v>
      </c>
      <c r="E30" s="2" t="s">
        <v>92</v>
      </c>
      <c r="F30" s="2"/>
      <c r="G30" s="8">
        <v>9266</v>
      </c>
      <c r="H30" s="8">
        <v>999</v>
      </c>
      <c r="I30" s="8">
        <v>928</v>
      </c>
      <c r="J30" s="8">
        <v>2700</v>
      </c>
      <c r="K30" s="9">
        <v>12264</v>
      </c>
      <c r="L30" s="2">
        <v>128397</v>
      </c>
      <c r="M30" s="2" t="s">
        <v>24</v>
      </c>
    </row>
    <row r="31" spans="1:13" ht="14.25" customHeight="1">
      <c r="A31" s="2" t="s">
        <v>93</v>
      </c>
      <c r="B31" s="2" t="s">
        <v>21</v>
      </c>
      <c r="C31" s="3" t="s">
        <v>94</v>
      </c>
      <c r="D31" s="2" t="s">
        <v>43</v>
      </c>
      <c r="E31" s="2" t="s">
        <v>77</v>
      </c>
      <c r="F31" s="2" t="s">
        <v>40</v>
      </c>
      <c r="G31" s="8">
        <v>10702</v>
      </c>
      <c r="H31" s="8">
        <v>621</v>
      </c>
      <c r="I31" s="8">
        <v>445</v>
      </c>
      <c r="J31" s="8">
        <v>2918</v>
      </c>
      <c r="K31" s="9">
        <v>54808</v>
      </c>
      <c r="L31" s="2">
        <v>220225</v>
      </c>
      <c r="M31" s="2" t="s">
        <v>19</v>
      </c>
    </row>
    <row r="32" spans="1:13" ht="14.25" customHeight="1">
      <c r="A32" s="2" t="s">
        <v>95</v>
      </c>
      <c r="B32" s="2" t="s">
        <v>26</v>
      </c>
      <c r="C32" s="3" t="s">
        <v>96</v>
      </c>
      <c r="D32" s="2" t="s">
        <v>16</v>
      </c>
      <c r="E32" s="2" t="s">
        <v>35</v>
      </c>
      <c r="F32" s="2" t="s">
        <v>36</v>
      </c>
      <c r="G32" s="8">
        <v>2384</v>
      </c>
      <c r="H32" s="8">
        <v>1246</v>
      </c>
      <c r="I32" s="8">
        <v>160</v>
      </c>
      <c r="J32" s="8">
        <v>2004</v>
      </c>
      <c r="K32" s="9">
        <v>2701</v>
      </c>
      <c r="L32" s="2">
        <v>73142</v>
      </c>
      <c r="M32" s="2" t="s">
        <v>19</v>
      </c>
    </row>
    <row r="33" spans="1:13" ht="14.25" customHeight="1">
      <c r="A33" s="2" t="s">
        <v>97</v>
      </c>
      <c r="B33" s="2" t="s">
        <v>26</v>
      </c>
      <c r="C33" s="3" t="s">
        <v>98</v>
      </c>
      <c r="D33" s="2" t="s">
        <v>16</v>
      </c>
      <c r="E33" s="2" t="s">
        <v>35</v>
      </c>
      <c r="F33" s="2" t="s">
        <v>69</v>
      </c>
      <c r="G33" s="8">
        <v>2404</v>
      </c>
      <c r="H33" s="8">
        <v>774</v>
      </c>
      <c r="I33" s="8">
        <v>661</v>
      </c>
      <c r="J33" s="8">
        <v>662</v>
      </c>
      <c r="K33" s="9">
        <v>12676</v>
      </c>
      <c r="L33" s="2">
        <v>66916</v>
      </c>
      <c r="M33" s="2" t="s">
        <v>19</v>
      </c>
    </row>
    <row r="34" spans="1:13" ht="14.25" customHeight="1">
      <c r="A34" s="2" t="s">
        <v>99</v>
      </c>
      <c r="B34" s="2" t="s">
        <v>21</v>
      </c>
      <c r="C34" s="4">
        <v>45911</v>
      </c>
      <c r="D34" s="2" t="s">
        <v>43</v>
      </c>
      <c r="E34" s="2" t="s">
        <v>55</v>
      </c>
      <c r="F34" s="2" t="s">
        <v>35</v>
      </c>
      <c r="G34" s="8">
        <v>10175</v>
      </c>
      <c r="H34" s="8">
        <v>342</v>
      </c>
      <c r="I34" s="8">
        <v>825</v>
      </c>
      <c r="J34" s="8">
        <v>2904</v>
      </c>
      <c r="K34" s="9">
        <v>15954</v>
      </c>
      <c r="L34" s="2">
        <v>104324</v>
      </c>
      <c r="M34" s="2" t="s">
        <v>24</v>
      </c>
    </row>
    <row r="35" spans="1:13" ht="14.25" customHeight="1">
      <c r="A35" s="2" t="s">
        <v>100</v>
      </c>
      <c r="B35" s="2" t="s">
        <v>53</v>
      </c>
      <c r="C35" s="4">
        <v>45912</v>
      </c>
      <c r="D35" s="2" t="s">
        <v>28</v>
      </c>
      <c r="E35" s="2" t="s">
        <v>29</v>
      </c>
      <c r="F35" s="2" t="s">
        <v>30</v>
      </c>
      <c r="G35" s="8">
        <v>17158</v>
      </c>
      <c r="H35" s="8">
        <v>1192</v>
      </c>
      <c r="I35" s="8">
        <v>262</v>
      </c>
      <c r="J35" s="8">
        <v>2016</v>
      </c>
      <c r="K35" s="9">
        <v>28771</v>
      </c>
      <c r="L35" s="2">
        <v>216037</v>
      </c>
      <c r="M35" s="2" t="s">
        <v>24</v>
      </c>
    </row>
    <row r="36" spans="1:13" ht="14.25" customHeight="1">
      <c r="A36" s="2" t="s">
        <v>101</v>
      </c>
      <c r="B36" s="2" t="s">
        <v>53</v>
      </c>
      <c r="C36" s="3" t="s">
        <v>102</v>
      </c>
      <c r="D36" s="2" t="s">
        <v>34</v>
      </c>
      <c r="E36" s="2" t="s">
        <v>35</v>
      </c>
      <c r="F36" s="2" t="s">
        <v>69</v>
      </c>
      <c r="G36" s="8">
        <v>14763</v>
      </c>
      <c r="H36" s="8">
        <v>864</v>
      </c>
      <c r="I36" s="8">
        <v>336</v>
      </c>
      <c r="J36" s="8">
        <v>1493</v>
      </c>
      <c r="K36" s="9">
        <v>33310</v>
      </c>
      <c r="L36" s="2">
        <v>165932</v>
      </c>
      <c r="M36" s="2" t="s">
        <v>37</v>
      </c>
    </row>
    <row r="37" spans="1:13" ht="14.25" customHeight="1">
      <c r="A37" s="2" t="s">
        <v>103</v>
      </c>
      <c r="B37" s="2" t="s">
        <v>26</v>
      </c>
      <c r="C37" s="3" t="s">
        <v>104</v>
      </c>
      <c r="D37" s="2" t="s">
        <v>43</v>
      </c>
      <c r="E37" s="2" t="s">
        <v>92</v>
      </c>
      <c r="F37" s="2"/>
      <c r="G37" s="8">
        <v>20384</v>
      </c>
      <c r="H37" s="8">
        <v>344</v>
      </c>
      <c r="I37" s="8">
        <v>956</v>
      </c>
      <c r="J37" s="8">
        <v>655</v>
      </c>
      <c r="K37" s="9">
        <v>67621</v>
      </c>
      <c r="L37" s="2">
        <v>175720</v>
      </c>
      <c r="M37" s="2" t="s">
        <v>31</v>
      </c>
    </row>
    <row r="38" spans="1:13" ht="14.25" customHeight="1">
      <c r="A38" s="2" t="s">
        <v>105</v>
      </c>
      <c r="B38" s="2" t="s">
        <v>21</v>
      </c>
      <c r="C38" s="3" t="s">
        <v>106</v>
      </c>
      <c r="D38" s="2" t="s">
        <v>16</v>
      </c>
      <c r="E38" s="2" t="s">
        <v>29</v>
      </c>
      <c r="F38" s="2" t="s">
        <v>30</v>
      </c>
      <c r="G38" s="8">
        <v>11860</v>
      </c>
      <c r="H38" s="8">
        <v>1448</v>
      </c>
      <c r="I38" s="8">
        <v>893</v>
      </c>
      <c r="J38" s="8">
        <v>490</v>
      </c>
      <c r="K38" s="9">
        <v>23518</v>
      </c>
      <c r="L38" s="2">
        <v>206205</v>
      </c>
      <c r="M38" s="2" t="s">
        <v>19</v>
      </c>
    </row>
    <row r="39" spans="1:13" ht="14.25" customHeight="1">
      <c r="A39" s="2" t="s">
        <v>107</v>
      </c>
      <c r="B39" s="2" t="s">
        <v>26</v>
      </c>
      <c r="C39" s="3" t="s">
        <v>108</v>
      </c>
      <c r="D39" s="2" t="s">
        <v>28</v>
      </c>
      <c r="E39" s="2" t="s">
        <v>22</v>
      </c>
      <c r="F39" s="2" t="s">
        <v>23</v>
      </c>
      <c r="G39" s="8">
        <v>7989</v>
      </c>
      <c r="H39" s="8">
        <v>1206</v>
      </c>
      <c r="I39" s="8">
        <v>376</v>
      </c>
      <c r="J39" s="8">
        <v>2769</v>
      </c>
      <c r="K39" s="9">
        <v>27550</v>
      </c>
      <c r="L39" s="2">
        <v>221749</v>
      </c>
      <c r="M39" s="2" t="s">
        <v>31</v>
      </c>
    </row>
    <row r="40" spans="1:13" ht="14.25" customHeight="1">
      <c r="A40" s="2" t="s">
        <v>109</v>
      </c>
      <c r="B40" s="2" t="s">
        <v>26</v>
      </c>
      <c r="C40" s="4">
        <v>45913</v>
      </c>
      <c r="D40" s="2" t="s">
        <v>43</v>
      </c>
      <c r="E40" s="2" t="s">
        <v>44</v>
      </c>
      <c r="F40" s="2" t="s">
        <v>45</v>
      </c>
      <c r="G40" s="8">
        <v>17106</v>
      </c>
      <c r="H40" s="8">
        <v>702</v>
      </c>
      <c r="I40" s="8">
        <v>459</v>
      </c>
      <c r="J40" s="8">
        <v>999</v>
      </c>
      <c r="K40" s="9">
        <v>59627</v>
      </c>
      <c r="L40" s="2">
        <v>136059</v>
      </c>
      <c r="M40" s="2" t="s">
        <v>24</v>
      </c>
    </row>
    <row r="41" spans="1:13" ht="14.25" customHeight="1">
      <c r="A41" s="2" t="s">
        <v>110</v>
      </c>
      <c r="B41" s="2" t="s">
        <v>14</v>
      </c>
      <c r="C41" s="4">
        <v>45914</v>
      </c>
      <c r="D41" s="2" t="s">
        <v>43</v>
      </c>
      <c r="E41" s="2" t="s">
        <v>48</v>
      </c>
      <c r="F41" s="2" t="s">
        <v>49</v>
      </c>
      <c r="G41" s="8">
        <v>19844</v>
      </c>
      <c r="H41" s="8">
        <v>1020</v>
      </c>
      <c r="I41" s="8">
        <v>247</v>
      </c>
      <c r="J41" s="8">
        <v>2354</v>
      </c>
      <c r="K41" s="9">
        <v>37792</v>
      </c>
      <c r="L41" s="2">
        <v>138317</v>
      </c>
      <c r="M41" s="2" t="s">
        <v>24</v>
      </c>
    </row>
    <row r="42" spans="1:13" ht="14.25" customHeight="1">
      <c r="A42" s="2" t="s">
        <v>111</v>
      </c>
      <c r="B42" s="2" t="s">
        <v>14</v>
      </c>
      <c r="C42" s="4">
        <v>45915</v>
      </c>
      <c r="D42" s="2" t="s">
        <v>28</v>
      </c>
      <c r="E42" s="2" t="s">
        <v>22</v>
      </c>
      <c r="F42" s="2" t="s">
        <v>23</v>
      </c>
      <c r="G42" s="8">
        <v>5636</v>
      </c>
      <c r="H42" s="8">
        <v>303</v>
      </c>
      <c r="I42" s="8">
        <v>204</v>
      </c>
      <c r="J42" s="8">
        <v>2480</v>
      </c>
      <c r="K42" s="9">
        <v>7377</v>
      </c>
      <c r="L42" s="2">
        <v>241207</v>
      </c>
      <c r="M42" s="2" t="s">
        <v>24</v>
      </c>
    </row>
    <row r="43" spans="1:13" ht="14.25" customHeight="1">
      <c r="A43" s="2" t="s">
        <v>112</v>
      </c>
      <c r="B43" s="2" t="s">
        <v>14</v>
      </c>
      <c r="C43" s="3" t="s">
        <v>113</v>
      </c>
      <c r="D43" s="2" t="s">
        <v>43</v>
      </c>
      <c r="E43" s="2" t="s">
        <v>35</v>
      </c>
      <c r="F43" s="2" t="s">
        <v>69</v>
      </c>
      <c r="G43" s="8">
        <v>12916</v>
      </c>
      <c r="H43" s="8">
        <v>1262</v>
      </c>
      <c r="I43" s="8">
        <v>772</v>
      </c>
      <c r="J43" s="8">
        <v>856</v>
      </c>
      <c r="K43" s="9">
        <v>11496</v>
      </c>
      <c r="L43" s="2">
        <v>75046</v>
      </c>
      <c r="M43" s="2" t="s">
        <v>31</v>
      </c>
    </row>
    <row r="44" spans="1:13" ht="14.25" customHeight="1">
      <c r="A44" s="2" t="s">
        <v>114</v>
      </c>
      <c r="B44" s="2" t="s">
        <v>53</v>
      </c>
      <c r="C44" s="4">
        <v>45916</v>
      </c>
      <c r="D44" s="2" t="s">
        <v>28</v>
      </c>
      <c r="E44" s="2" t="s">
        <v>92</v>
      </c>
      <c r="F44" s="2"/>
      <c r="G44" s="8">
        <v>6809</v>
      </c>
      <c r="H44" s="8">
        <v>397</v>
      </c>
      <c r="I44" s="8">
        <v>813</v>
      </c>
      <c r="J44" s="8">
        <v>1125</v>
      </c>
      <c r="K44" s="9">
        <v>12206</v>
      </c>
      <c r="L44" s="2">
        <v>218136</v>
      </c>
      <c r="M44" s="2" t="s">
        <v>24</v>
      </c>
    </row>
    <row r="45" spans="1:13" ht="14.25" customHeight="1">
      <c r="A45" s="2" t="s">
        <v>115</v>
      </c>
      <c r="B45" s="2" t="s">
        <v>21</v>
      </c>
      <c r="C45" s="3" t="s">
        <v>116</v>
      </c>
      <c r="D45" s="2" t="s">
        <v>34</v>
      </c>
      <c r="E45" s="2" t="s">
        <v>77</v>
      </c>
      <c r="F45" s="2" t="s">
        <v>40</v>
      </c>
      <c r="G45" s="8">
        <v>22562</v>
      </c>
      <c r="H45" s="8">
        <v>778</v>
      </c>
      <c r="I45" s="8">
        <v>907</v>
      </c>
      <c r="J45" s="8">
        <v>1354</v>
      </c>
      <c r="K45" s="9">
        <v>34475</v>
      </c>
      <c r="L45" s="2">
        <v>141459</v>
      </c>
      <c r="M45" s="2" t="s">
        <v>37</v>
      </c>
    </row>
    <row r="46" spans="1:13" ht="14.25" customHeight="1">
      <c r="A46" s="2" t="s">
        <v>117</v>
      </c>
      <c r="B46" s="2" t="s">
        <v>21</v>
      </c>
      <c r="C46" s="4">
        <v>45917</v>
      </c>
      <c r="D46" s="2" t="s">
        <v>28</v>
      </c>
      <c r="E46" s="2" t="s">
        <v>44</v>
      </c>
      <c r="F46" s="2" t="s">
        <v>45</v>
      </c>
      <c r="G46" s="8">
        <v>15456</v>
      </c>
      <c r="H46" s="8">
        <v>590</v>
      </c>
      <c r="I46" s="8">
        <v>555</v>
      </c>
      <c r="J46" s="8">
        <v>2882</v>
      </c>
      <c r="K46" s="9">
        <v>49816</v>
      </c>
      <c r="L46" s="2">
        <v>240422</v>
      </c>
      <c r="M46" s="2" t="s">
        <v>24</v>
      </c>
    </row>
    <row r="47" spans="1:13" ht="14.25" customHeight="1">
      <c r="A47" s="2" t="s">
        <v>118</v>
      </c>
      <c r="B47" s="2" t="s">
        <v>21</v>
      </c>
      <c r="C47" s="3" t="s">
        <v>119</v>
      </c>
      <c r="D47" s="2" t="s">
        <v>28</v>
      </c>
      <c r="E47" s="2" t="s">
        <v>35</v>
      </c>
      <c r="F47" s="2" t="s">
        <v>69</v>
      </c>
      <c r="G47" s="8">
        <v>17444</v>
      </c>
      <c r="H47" s="8">
        <v>1402</v>
      </c>
      <c r="I47" s="8">
        <v>218</v>
      </c>
      <c r="J47" s="8">
        <v>725</v>
      </c>
      <c r="K47" s="9">
        <v>8710</v>
      </c>
      <c r="L47" s="2">
        <v>85893</v>
      </c>
      <c r="M47" s="2" t="s">
        <v>62</v>
      </c>
    </row>
    <row r="48" spans="1:13" ht="14.25" customHeight="1">
      <c r="A48" s="2" t="s">
        <v>120</v>
      </c>
      <c r="B48" s="2" t="s">
        <v>21</v>
      </c>
      <c r="C48" s="3" t="s">
        <v>121</v>
      </c>
      <c r="D48" s="2" t="s">
        <v>28</v>
      </c>
      <c r="E48" s="2" t="s">
        <v>55</v>
      </c>
      <c r="F48" s="2" t="s">
        <v>35</v>
      </c>
      <c r="G48" s="8">
        <v>24984</v>
      </c>
      <c r="H48" s="8">
        <v>753</v>
      </c>
      <c r="I48" s="8">
        <v>461</v>
      </c>
      <c r="J48" s="8">
        <v>2710</v>
      </c>
      <c r="K48" s="9">
        <v>20792</v>
      </c>
      <c r="L48" s="2">
        <v>141520</v>
      </c>
      <c r="M48" s="2" t="s">
        <v>31</v>
      </c>
    </row>
    <row r="49" spans="1:13" ht="14.25" customHeight="1">
      <c r="A49" s="2" t="s">
        <v>122</v>
      </c>
      <c r="B49" s="2" t="s">
        <v>14</v>
      </c>
      <c r="C49" s="3" t="s">
        <v>54</v>
      </c>
      <c r="D49" s="2" t="s">
        <v>43</v>
      </c>
      <c r="E49" s="2" t="s">
        <v>17</v>
      </c>
      <c r="F49" s="2" t="s">
        <v>18</v>
      </c>
      <c r="G49" s="8">
        <v>7997</v>
      </c>
      <c r="H49" s="8">
        <v>1238</v>
      </c>
      <c r="I49" s="8">
        <v>438</v>
      </c>
      <c r="J49" s="8">
        <v>1874</v>
      </c>
      <c r="K49" s="9">
        <v>36272</v>
      </c>
      <c r="L49" s="2">
        <v>165818</v>
      </c>
      <c r="M49" s="2" t="s">
        <v>62</v>
      </c>
    </row>
    <row r="50" spans="1:13" ht="14.25" customHeight="1">
      <c r="A50" s="2" t="s">
        <v>123</v>
      </c>
      <c r="B50" s="2" t="s">
        <v>53</v>
      </c>
      <c r="C50" s="4">
        <v>45918</v>
      </c>
      <c r="D50" s="2" t="s">
        <v>43</v>
      </c>
      <c r="E50" s="2" t="s">
        <v>35</v>
      </c>
      <c r="F50" s="2" t="s">
        <v>69</v>
      </c>
      <c r="G50" s="8">
        <v>4048</v>
      </c>
      <c r="H50" s="8">
        <v>677</v>
      </c>
      <c r="I50" s="8">
        <v>911</v>
      </c>
      <c r="J50" s="8">
        <v>2429</v>
      </c>
      <c r="K50" s="9">
        <v>27361</v>
      </c>
      <c r="L50" s="2">
        <v>101272</v>
      </c>
      <c r="M50" s="2" t="s">
        <v>24</v>
      </c>
    </row>
    <row r="51" spans="1:13" ht="14.25" customHeight="1">
      <c r="A51" s="2" t="s">
        <v>124</v>
      </c>
      <c r="B51" s="2" t="s">
        <v>53</v>
      </c>
      <c r="C51" s="3" t="s">
        <v>125</v>
      </c>
      <c r="D51" s="2" t="s">
        <v>28</v>
      </c>
      <c r="E51" s="2" t="s">
        <v>44</v>
      </c>
      <c r="F51" s="2" t="s">
        <v>45</v>
      </c>
      <c r="G51" s="8">
        <v>14338</v>
      </c>
      <c r="H51" s="8">
        <v>1454</v>
      </c>
      <c r="I51" s="8">
        <v>697</v>
      </c>
      <c r="J51" s="8">
        <v>2703</v>
      </c>
      <c r="K51" s="9">
        <v>21288</v>
      </c>
      <c r="L51" s="2">
        <v>107649</v>
      </c>
      <c r="M51" s="2" t="s">
        <v>37</v>
      </c>
    </row>
    <row r="52" spans="1:13" ht="14.25" customHeight="1">
      <c r="A52" s="2" t="s">
        <v>126</v>
      </c>
      <c r="B52" s="2" t="s">
        <v>14</v>
      </c>
      <c r="C52" s="3" t="s">
        <v>127</v>
      </c>
      <c r="D52" s="2" t="s">
        <v>43</v>
      </c>
      <c r="E52" s="2" t="s">
        <v>48</v>
      </c>
      <c r="F52" s="2" t="s">
        <v>49</v>
      </c>
      <c r="G52" s="8">
        <v>23164</v>
      </c>
      <c r="H52" s="8">
        <v>1122</v>
      </c>
      <c r="I52" s="8">
        <v>900</v>
      </c>
      <c r="J52" s="8">
        <v>888</v>
      </c>
      <c r="K52" s="9">
        <v>36938</v>
      </c>
      <c r="L52" s="2">
        <v>104674</v>
      </c>
      <c r="M52" s="2" t="s">
        <v>19</v>
      </c>
    </row>
    <row r="53" spans="1:13" ht="14.25" customHeight="1">
      <c r="A53" s="2" t="s">
        <v>128</v>
      </c>
      <c r="B53" s="2" t="s">
        <v>53</v>
      </c>
      <c r="C53" s="4">
        <v>45919</v>
      </c>
      <c r="D53" s="2" t="s">
        <v>16</v>
      </c>
      <c r="E53" s="2" t="s">
        <v>48</v>
      </c>
      <c r="F53" s="2" t="s">
        <v>49</v>
      </c>
      <c r="G53" s="8">
        <v>19100</v>
      </c>
      <c r="H53" s="8">
        <v>619</v>
      </c>
      <c r="I53" s="8">
        <v>297</v>
      </c>
      <c r="J53" s="8">
        <v>2312</v>
      </c>
      <c r="K53" s="9">
        <v>9730</v>
      </c>
      <c r="L53" s="2">
        <v>184832</v>
      </c>
      <c r="M53" s="2" t="s">
        <v>24</v>
      </c>
    </row>
    <row r="54" spans="1:13" ht="14.25" customHeight="1">
      <c r="A54" s="2" t="s">
        <v>129</v>
      </c>
      <c r="B54" s="2" t="s">
        <v>14</v>
      </c>
      <c r="C54" s="3" t="s">
        <v>121</v>
      </c>
      <c r="D54" s="2" t="s">
        <v>16</v>
      </c>
      <c r="E54" s="2" t="s">
        <v>35</v>
      </c>
      <c r="F54" s="2" t="s">
        <v>69</v>
      </c>
      <c r="G54" s="8">
        <v>23949</v>
      </c>
      <c r="H54" s="8">
        <v>356</v>
      </c>
      <c r="I54" s="8">
        <v>616</v>
      </c>
      <c r="J54" s="8">
        <v>1847</v>
      </c>
      <c r="K54" s="9">
        <v>3144</v>
      </c>
      <c r="L54" s="2">
        <v>192999</v>
      </c>
      <c r="M54" s="2" t="s">
        <v>37</v>
      </c>
    </row>
    <row r="55" spans="1:13" ht="14.25" customHeight="1">
      <c r="A55" s="2" t="s">
        <v>130</v>
      </c>
      <c r="B55" s="2" t="s">
        <v>21</v>
      </c>
      <c r="C55" s="3" t="s">
        <v>131</v>
      </c>
      <c r="D55" s="2" t="s">
        <v>43</v>
      </c>
      <c r="E55" s="2" t="s">
        <v>29</v>
      </c>
      <c r="F55" s="2" t="s">
        <v>30</v>
      </c>
      <c r="G55" s="8">
        <v>6544</v>
      </c>
      <c r="H55" s="8">
        <v>749</v>
      </c>
      <c r="I55" s="8">
        <v>888</v>
      </c>
      <c r="J55" s="8">
        <v>594</v>
      </c>
      <c r="K55" s="9">
        <v>18171</v>
      </c>
      <c r="L55" s="2">
        <v>126475</v>
      </c>
      <c r="M55" s="2" t="s">
        <v>31</v>
      </c>
    </row>
    <row r="56" spans="1:13" ht="14.25" customHeight="1">
      <c r="A56" s="2" t="s">
        <v>132</v>
      </c>
      <c r="B56" s="2" t="s">
        <v>14</v>
      </c>
      <c r="C56" s="3" t="s">
        <v>133</v>
      </c>
      <c r="D56" s="2" t="s">
        <v>43</v>
      </c>
      <c r="E56" s="2" t="s">
        <v>17</v>
      </c>
      <c r="F56" s="2" t="s">
        <v>18</v>
      </c>
      <c r="G56" s="8">
        <v>6976</v>
      </c>
      <c r="H56" s="8">
        <v>1320</v>
      </c>
      <c r="I56" s="8">
        <v>393</v>
      </c>
      <c r="J56" s="8">
        <v>2285</v>
      </c>
      <c r="K56" s="9">
        <v>14049</v>
      </c>
      <c r="L56" s="2">
        <v>101367</v>
      </c>
      <c r="M56" s="2" t="s">
        <v>62</v>
      </c>
    </row>
    <row r="57" spans="1:13" ht="14.25" customHeight="1">
      <c r="A57" s="2" t="s">
        <v>134</v>
      </c>
      <c r="B57" s="2" t="s">
        <v>21</v>
      </c>
      <c r="C57" s="3" t="s">
        <v>135</v>
      </c>
      <c r="D57" s="2" t="s">
        <v>28</v>
      </c>
      <c r="E57" s="2" t="s">
        <v>55</v>
      </c>
      <c r="F57" s="2" t="s">
        <v>35</v>
      </c>
      <c r="G57" s="8">
        <v>14775</v>
      </c>
      <c r="H57" s="8">
        <v>1220</v>
      </c>
      <c r="I57" s="8">
        <v>640</v>
      </c>
      <c r="J57" s="8">
        <v>1547</v>
      </c>
      <c r="K57" s="9">
        <v>28527</v>
      </c>
      <c r="L57" s="2">
        <v>183660</v>
      </c>
      <c r="M57" s="2" t="s">
        <v>62</v>
      </c>
    </row>
    <row r="58" spans="1:13" ht="14.25" customHeight="1">
      <c r="A58" s="2" t="s">
        <v>136</v>
      </c>
      <c r="B58" s="2" t="s">
        <v>21</v>
      </c>
      <c r="C58" s="3" t="s">
        <v>137</v>
      </c>
      <c r="D58" s="2" t="s">
        <v>34</v>
      </c>
      <c r="E58" s="2" t="s">
        <v>35</v>
      </c>
      <c r="F58" s="2" t="s">
        <v>69</v>
      </c>
      <c r="G58" s="8">
        <v>12015</v>
      </c>
      <c r="H58" s="8">
        <v>1196</v>
      </c>
      <c r="I58" s="8">
        <v>998</v>
      </c>
      <c r="J58" s="8">
        <v>1848</v>
      </c>
      <c r="K58" s="9">
        <v>44739</v>
      </c>
      <c r="L58" s="2">
        <v>161750</v>
      </c>
      <c r="M58" s="2" t="s">
        <v>62</v>
      </c>
    </row>
    <row r="59" spans="1:13" ht="14.25" customHeight="1">
      <c r="A59" s="2" t="s">
        <v>138</v>
      </c>
      <c r="B59" s="2" t="s">
        <v>26</v>
      </c>
      <c r="C59" s="3" t="s">
        <v>139</v>
      </c>
      <c r="D59" s="2" t="s">
        <v>43</v>
      </c>
      <c r="E59" s="2" t="s">
        <v>29</v>
      </c>
      <c r="F59" s="2" t="s">
        <v>30</v>
      </c>
      <c r="G59" s="8">
        <v>5419</v>
      </c>
      <c r="H59" s="8">
        <v>1150</v>
      </c>
      <c r="I59" s="8">
        <v>656</v>
      </c>
      <c r="J59" s="8">
        <v>1990</v>
      </c>
      <c r="K59" s="9">
        <v>410</v>
      </c>
      <c r="L59" s="2">
        <v>158154</v>
      </c>
      <c r="M59" s="2" t="s">
        <v>31</v>
      </c>
    </row>
    <row r="60" spans="1:13" ht="14.25" customHeight="1">
      <c r="A60" s="2" t="s">
        <v>140</v>
      </c>
      <c r="B60" s="2" t="s">
        <v>14</v>
      </c>
      <c r="C60" s="3" t="s">
        <v>141</v>
      </c>
      <c r="D60" s="2" t="s">
        <v>16</v>
      </c>
      <c r="E60" s="2" t="s">
        <v>48</v>
      </c>
      <c r="F60" s="2" t="s">
        <v>49</v>
      </c>
      <c r="G60" s="8">
        <v>16430</v>
      </c>
      <c r="H60" s="8">
        <v>488</v>
      </c>
      <c r="I60" s="8">
        <v>514</v>
      </c>
      <c r="J60" s="8">
        <v>1436</v>
      </c>
      <c r="K60" s="9">
        <v>30059</v>
      </c>
      <c r="L60" s="2">
        <v>223305</v>
      </c>
      <c r="M60" s="2" t="s">
        <v>37</v>
      </c>
    </row>
    <row r="61" spans="1:13" ht="14.25" customHeight="1">
      <c r="A61" s="2" t="s">
        <v>142</v>
      </c>
      <c r="B61" s="2" t="s">
        <v>26</v>
      </c>
      <c r="C61" s="3" t="s">
        <v>143</v>
      </c>
      <c r="D61" s="2" t="s">
        <v>28</v>
      </c>
      <c r="E61" s="2" t="s">
        <v>48</v>
      </c>
      <c r="F61" s="2" t="s">
        <v>49</v>
      </c>
      <c r="G61" s="8">
        <v>9239</v>
      </c>
      <c r="H61" s="8">
        <v>1477</v>
      </c>
      <c r="I61" s="8">
        <v>631</v>
      </c>
      <c r="J61" s="8">
        <v>1556</v>
      </c>
      <c r="K61" s="9">
        <v>11580</v>
      </c>
      <c r="L61" s="2">
        <v>84738</v>
      </c>
      <c r="M61" s="2" t="s">
        <v>31</v>
      </c>
    </row>
    <row r="62" spans="1:13" ht="14.25" customHeight="1">
      <c r="A62" s="2" t="s">
        <v>144</v>
      </c>
      <c r="B62" s="2" t="s">
        <v>14</v>
      </c>
      <c r="C62" s="3" t="s">
        <v>145</v>
      </c>
      <c r="D62" s="2" t="s">
        <v>43</v>
      </c>
      <c r="E62" s="2" t="s">
        <v>92</v>
      </c>
      <c r="F62" s="2"/>
      <c r="G62" s="8">
        <v>16489</v>
      </c>
      <c r="H62" s="8">
        <v>395</v>
      </c>
      <c r="I62" s="8">
        <v>350</v>
      </c>
      <c r="J62" s="8">
        <v>2364</v>
      </c>
      <c r="K62" s="9">
        <v>43239</v>
      </c>
      <c r="L62" s="2">
        <v>73397</v>
      </c>
      <c r="M62" s="2" t="s">
        <v>62</v>
      </c>
    </row>
    <row r="63" spans="1:13" ht="14.25" customHeight="1">
      <c r="A63" s="2" t="s">
        <v>146</v>
      </c>
      <c r="B63" s="2" t="s">
        <v>14</v>
      </c>
      <c r="C63" s="4">
        <v>45920</v>
      </c>
      <c r="D63" s="2" t="s">
        <v>16</v>
      </c>
      <c r="E63" s="2" t="s">
        <v>35</v>
      </c>
      <c r="F63" s="2" t="s">
        <v>69</v>
      </c>
      <c r="G63" s="8">
        <v>18633</v>
      </c>
      <c r="H63" s="8">
        <v>797</v>
      </c>
      <c r="I63" s="8">
        <v>303</v>
      </c>
      <c r="J63" s="8">
        <v>659</v>
      </c>
      <c r="K63" s="9">
        <v>7</v>
      </c>
      <c r="L63" s="2">
        <v>122189</v>
      </c>
      <c r="M63" s="2" t="s">
        <v>24</v>
      </c>
    </row>
    <row r="64" spans="1:13" ht="14.25" customHeight="1">
      <c r="A64" s="2" t="s">
        <v>147</v>
      </c>
      <c r="B64" s="2" t="s">
        <v>26</v>
      </c>
      <c r="C64" s="3" t="s">
        <v>98</v>
      </c>
      <c r="D64" s="2" t="s">
        <v>16</v>
      </c>
      <c r="E64" s="2" t="s">
        <v>17</v>
      </c>
      <c r="F64" s="2" t="s">
        <v>18</v>
      </c>
      <c r="G64" s="8">
        <v>12357</v>
      </c>
      <c r="H64" s="8">
        <v>716</v>
      </c>
      <c r="I64" s="8">
        <v>599</v>
      </c>
      <c r="J64" s="8">
        <v>999</v>
      </c>
      <c r="K64" s="9">
        <v>89591</v>
      </c>
      <c r="L64" s="2">
        <v>116367</v>
      </c>
      <c r="M64" s="2" t="s">
        <v>19</v>
      </c>
    </row>
    <row r="65" spans="1:13" ht="14.25" customHeight="1">
      <c r="A65" s="2" t="s">
        <v>148</v>
      </c>
      <c r="B65" s="2" t="s">
        <v>26</v>
      </c>
      <c r="C65" s="3" t="s">
        <v>149</v>
      </c>
      <c r="D65" s="2" t="s">
        <v>34</v>
      </c>
      <c r="E65" s="2" t="s">
        <v>40</v>
      </c>
      <c r="F65" s="2"/>
      <c r="G65" s="8">
        <v>19154</v>
      </c>
      <c r="H65" s="8">
        <v>1064</v>
      </c>
      <c r="I65" s="8">
        <v>650</v>
      </c>
      <c r="J65" s="8">
        <v>747</v>
      </c>
      <c r="K65" s="9">
        <v>42667</v>
      </c>
      <c r="L65" s="2">
        <v>242332</v>
      </c>
      <c r="M65" s="2" t="s">
        <v>31</v>
      </c>
    </row>
    <row r="66" spans="1:13" ht="14.25" customHeight="1">
      <c r="A66" s="2" t="s">
        <v>150</v>
      </c>
      <c r="B66" s="2" t="s">
        <v>14</v>
      </c>
      <c r="C66" s="3" t="s">
        <v>151</v>
      </c>
      <c r="D66" s="2" t="s">
        <v>28</v>
      </c>
      <c r="E66" s="2" t="s">
        <v>17</v>
      </c>
      <c r="F66" s="2" t="s">
        <v>18</v>
      </c>
      <c r="G66" s="8">
        <v>6363</v>
      </c>
      <c r="H66" s="8">
        <v>1341</v>
      </c>
      <c r="I66" s="8">
        <v>222</v>
      </c>
      <c r="J66" s="8">
        <v>2712</v>
      </c>
      <c r="K66" s="9">
        <v>19987</v>
      </c>
      <c r="L66" s="2">
        <v>160585</v>
      </c>
      <c r="M66" s="2" t="s">
        <v>31</v>
      </c>
    </row>
    <row r="67" spans="1:13" ht="14.25" customHeight="1">
      <c r="A67" s="2" t="s">
        <v>152</v>
      </c>
      <c r="B67" s="2" t="s">
        <v>53</v>
      </c>
      <c r="C67" s="3" t="s">
        <v>153</v>
      </c>
      <c r="D67" s="2" t="s">
        <v>28</v>
      </c>
      <c r="E67" s="2" t="s">
        <v>48</v>
      </c>
      <c r="F67" s="2" t="s">
        <v>49</v>
      </c>
      <c r="G67" s="8">
        <v>12176</v>
      </c>
      <c r="H67" s="8">
        <v>1005</v>
      </c>
      <c r="I67" s="8">
        <v>862</v>
      </c>
      <c r="J67" s="8">
        <v>974</v>
      </c>
      <c r="K67" s="9">
        <v>2285</v>
      </c>
      <c r="L67" s="2">
        <v>116619</v>
      </c>
      <c r="M67" s="2" t="s">
        <v>37</v>
      </c>
    </row>
    <row r="68" spans="1:13" ht="14.25" customHeight="1">
      <c r="A68" s="2" t="s">
        <v>154</v>
      </c>
      <c r="B68" s="2" t="s">
        <v>21</v>
      </c>
      <c r="C68" s="3" t="s">
        <v>155</v>
      </c>
      <c r="D68" s="2" t="s">
        <v>34</v>
      </c>
      <c r="E68" s="2" t="s">
        <v>48</v>
      </c>
      <c r="F68" s="2" t="s">
        <v>49</v>
      </c>
      <c r="G68" s="8">
        <v>19461</v>
      </c>
      <c r="H68" s="8">
        <v>1382</v>
      </c>
      <c r="I68" s="8">
        <v>445</v>
      </c>
      <c r="J68" s="8">
        <v>1307</v>
      </c>
      <c r="K68" s="9">
        <v>84691</v>
      </c>
      <c r="L68" s="2">
        <v>151453</v>
      </c>
      <c r="M68" s="2" t="s">
        <v>37</v>
      </c>
    </row>
    <row r="69" spans="1:13" ht="14.25" customHeight="1">
      <c r="A69" s="2" t="s">
        <v>156</v>
      </c>
      <c r="B69" s="2" t="s">
        <v>26</v>
      </c>
      <c r="C69" s="3" t="s">
        <v>157</v>
      </c>
      <c r="D69" s="2" t="s">
        <v>34</v>
      </c>
      <c r="E69" s="2" t="s">
        <v>22</v>
      </c>
      <c r="F69" s="2" t="s">
        <v>23</v>
      </c>
      <c r="G69" s="8">
        <v>10427</v>
      </c>
      <c r="H69" s="8">
        <v>1014</v>
      </c>
      <c r="I69" s="8">
        <v>166</v>
      </c>
      <c r="J69" s="8">
        <v>1649</v>
      </c>
      <c r="K69" s="9">
        <v>15145</v>
      </c>
      <c r="L69" s="2">
        <v>59816</v>
      </c>
      <c r="M69" s="2" t="s">
        <v>31</v>
      </c>
    </row>
    <row r="70" spans="1:13" ht="14.25" customHeight="1">
      <c r="A70" s="2" t="s">
        <v>158</v>
      </c>
      <c r="B70" s="2" t="s">
        <v>21</v>
      </c>
      <c r="C70" s="3" t="s">
        <v>159</v>
      </c>
      <c r="D70" s="2" t="s">
        <v>28</v>
      </c>
      <c r="E70" s="2" t="s">
        <v>48</v>
      </c>
      <c r="F70" s="2" t="s">
        <v>49</v>
      </c>
      <c r="G70" s="8">
        <v>10580</v>
      </c>
      <c r="H70" s="8">
        <v>427</v>
      </c>
      <c r="I70" s="8">
        <v>790</v>
      </c>
      <c r="J70" s="8">
        <v>2814</v>
      </c>
      <c r="K70" s="9">
        <v>24916</v>
      </c>
      <c r="L70" s="2">
        <v>213312</v>
      </c>
      <c r="M70" s="2" t="s">
        <v>62</v>
      </c>
    </row>
    <row r="71" spans="1:13" ht="14.25" customHeight="1">
      <c r="A71" s="2" t="s">
        <v>160</v>
      </c>
      <c r="B71" s="2" t="s">
        <v>53</v>
      </c>
      <c r="C71" s="3" t="s">
        <v>161</v>
      </c>
      <c r="D71" s="2" t="s">
        <v>28</v>
      </c>
      <c r="E71" s="2" t="s">
        <v>55</v>
      </c>
      <c r="F71" s="2" t="s">
        <v>35</v>
      </c>
      <c r="G71" s="8">
        <v>6858</v>
      </c>
      <c r="H71" s="8">
        <v>415</v>
      </c>
      <c r="I71" s="8">
        <v>366</v>
      </c>
      <c r="J71" s="8">
        <v>2761</v>
      </c>
      <c r="K71" s="9">
        <v>2988</v>
      </c>
      <c r="L71" s="2">
        <v>177348</v>
      </c>
      <c r="M71" s="2" t="s">
        <v>19</v>
      </c>
    </row>
    <row r="72" spans="1:13" ht="14.25" customHeight="1">
      <c r="A72" s="2" t="s">
        <v>162</v>
      </c>
      <c r="B72" s="2" t="s">
        <v>53</v>
      </c>
      <c r="C72" s="3" t="s">
        <v>163</v>
      </c>
      <c r="D72" s="2" t="s">
        <v>43</v>
      </c>
      <c r="E72" s="2" t="s">
        <v>35</v>
      </c>
      <c r="F72" s="2" t="s">
        <v>36</v>
      </c>
      <c r="G72" s="8">
        <v>12040</v>
      </c>
      <c r="H72" s="8">
        <v>1147</v>
      </c>
      <c r="I72" s="8">
        <v>210</v>
      </c>
      <c r="J72" s="8">
        <v>885</v>
      </c>
      <c r="K72" s="9">
        <v>30360</v>
      </c>
      <c r="L72" s="2">
        <v>119530</v>
      </c>
      <c r="M72" s="2" t="s">
        <v>37</v>
      </c>
    </row>
    <row r="73" spans="1:13" ht="14.25" customHeight="1">
      <c r="A73" s="2" t="s">
        <v>164</v>
      </c>
      <c r="B73" s="2" t="s">
        <v>53</v>
      </c>
      <c r="C73" s="3" t="s">
        <v>165</v>
      </c>
      <c r="D73" s="2" t="s">
        <v>43</v>
      </c>
      <c r="E73" s="2" t="s">
        <v>35</v>
      </c>
      <c r="F73" s="2" t="s">
        <v>69</v>
      </c>
      <c r="G73" s="8">
        <v>24928</v>
      </c>
      <c r="H73" s="8">
        <v>214</v>
      </c>
      <c r="I73" s="8">
        <v>765</v>
      </c>
      <c r="J73" s="8">
        <v>1556</v>
      </c>
      <c r="K73" s="9">
        <v>5239</v>
      </c>
      <c r="L73" s="2">
        <v>194571</v>
      </c>
      <c r="M73" s="2" t="s">
        <v>62</v>
      </c>
    </row>
    <row r="74" spans="1:13" ht="14.25" customHeight="1">
      <c r="A74" s="2" t="s">
        <v>166</v>
      </c>
      <c r="B74" s="2" t="s">
        <v>26</v>
      </c>
      <c r="C74" s="4">
        <v>45921</v>
      </c>
      <c r="D74" s="2" t="s">
        <v>34</v>
      </c>
      <c r="E74" s="2" t="s">
        <v>17</v>
      </c>
      <c r="F74" s="2" t="s">
        <v>18</v>
      </c>
      <c r="G74" s="8">
        <v>23103</v>
      </c>
      <c r="H74" s="8">
        <v>1380</v>
      </c>
      <c r="I74" s="8">
        <v>191</v>
      </c>
      <c r="J74" s="8">
        <v>1547</v>
      </c>
      <c r="K74" s="9">
        <v>77798</v>
      </c>
      <c r="L74" s="2">
        <v>148856</v>
      </c>
      <c r="M74" s="2" t="s">
        <v>24</v>
      </c>
    </row>
    <row r="75" spans="1:13" ht="14.25" customHeight="1">
      <c r="A75" s="2" t="s">
        <v>167</v>
      </c>
      <c r="B75" s="2" t="s">
        <v>53</v>
      </c>
      <c r="C75" s="3" t="s">
        <v>168</v>
      </c>
      <c r="D75" s="2" t="s">
        <v>43</v>
      </c>
      <c r="E75" s="2" t="s">
        <v>35</v>
      </c>
      <c r="F75" s="2" t="s">
        <v>36</v>
      </c>
      <c r="G75" s="8">
        <v>21198</v>
      </c>
      <c r="H75" s="8">
        <v>1484</v>
      </c>
      <c r="I75" s="8">
        <v>174</v>
      </c>
      <c r="J75" s="8">
        <v>1293</v>
      </c>
      <c r="K75" s="9">
        <v>16330</v>
      </c>
      <c r="L75" s="2">
        <v>111635</v>
      </c>
      <c r="M75" s="2" t="s">
        <v>37</v>
      </c>
    </row>
    <row r="76" spans="1:13" ht="14.25" customHeight="1">
      <c r="A76" s="2" t="s">
        <v>169</v>
      </c>
      <c r="B76" s="2" t="s">
        <v>26</v>
      </c>
      <c r="C76" s="3" t="s">
        <v>170</v>
      </c>
      <c r="D76" s="2" t="s">
        <v>16</v>
      </c>
      <c r="E76" s="2" t="s">
        <v>29</v>
      </c>
      <c r="F76" s="2" t="s">
        <v>30</v>
      </c>
      <c r="G76" s="8">
        <v>21758</v>
      </c>
      <c r="H76" s="8">
        <v>1380</v>
      </c>
      <c r="I76" s="8">
        <v>188</v>
      </c>
      <c r="J76" s="8">
        <v>1735</v>
      </c>
      <c r="K76" s="9">
        <v>20998</v>
      </c>
      <c r="L76" s="2">
        <v>147803</v>
      </c>
      <c r="M76" s="2" t="s">
        <v>62</v>
      </c>
    </row>
    <row r="77" spans="1:13" ht="14.25" customHeight="1">
      <c r="A77" s="2" t="s">
        <v>171</v>
      </c>
      <c r="B77" s="2" t="s">
        <v>53</v>
      </c>
      <c r="C77" s="3" t="s">
        <v>172</v>
      </c>
      <c r="D77" s="2" t="s">
        <v>43</v>
      </c>
      <c r="E77" s="2" t="s">
        <v>40</v>
      </c>
      <c r="F77" s="2"/>
      <c r="G77" s="8">
        <v>17254</v>
      </c>
      <c r="H77" s="8">
        <v>246</v>
      </c>
      <c r="I77" s="8">
        <v>952</v>
      </c>
      <c r="J77" s="8">
        <v>871</v>
      </c>
      <c r="K77" s="9">
        <v>14957</v>
      </c>
      <c r="L77" s="2">
        <v>75946</v>
      </c>
      <c r="M77" s="2" t="s">
        <v>62</v>
      </c>
    </row>
    <row r="78" spans="1:13" ht="14.25" customHeight="1">
      <c r="A78" s="2" t="s">
        <v>173</v>
      </c>
      <c r="B78" s="2" t="s">
        <v>21</v>
      </c>
      <c r="C78" s="3" t="s">
        <v>90</v>
      </c>
      <c r="D78" s="2" t="s">
        <v>43</v>
      </c>
      <c r="E78" s="2" t="s">
        <v>55</v>
      </c>
      <c r="F78" s="2" t="s">
        <v>35</v>
      </c>
      <c r="G78" s="8">
        <v>13470</v>
      </c>
      <c r="H78" s="8">
        <v>523</v>
      </c>
      <c r="I78" s="8">
        <v>280</v>
      </c>
      <c r="J78" s="8">
        <v>2682</v>
      </c>
      <c r="K78" s="9">
        <v>8538</v>
      </c>
      <c r="L78" s="2">
        <v>95204</v>
      </c>
      <c r="M78" s="2" t="s">
        <v>19</v>
      </c>
    </row>
    <row r="79" spans="1:13" ht="14.25" customHeight="1">
      <c r="A79" s="2" t="s">
        <v>174</v>
      </c>
      <c r="B79" s="2" t="s">
        <v>21</v>
      </c>
      <c r="C79" s="3" t="s">
        <v>133</v>
      </c>
      <c r="D79" s="2" t="s">
        <v>16</v>
      </c>
      <c r="E79" s="2" t="s">
        <v>44</v>
      </c>
      <c r="F79" s="2" t="s">
        <v>45</v>
      </c>
      <c r="G79" s="8">
        <v>3252</v>
      </c>
      <c r="H79" s="8">
        <v>1043</v>
      </c>
      <c r="I79" s="8">
        <v>647</v>
      </c>
      <c r="J79" s="8">
        <v>1545</v>
      </c>
      <c r="K79" s="9">
        <v>18859</v>
      </c>
      <c r="L79" s="2">
        <v>222958</v>
      </c>
      <c r="M79" s="2" t="s">
        <v>19</v>
      </c>
    </row>
    <row r="80" spans="1:13" ht="14.25" customHeight="1">
      <c r="A80" s="2" t="s">
        <v>175</v>
      </c>
      <c r="B80" s="2" t="s">
        <v>14</v>
      </c>
      <c r="C80" s="4">
        <v>45922</v>
      </c>
      <c r="D80" s="2" t="s">
        <v>34</v>
      </c>
      <c r="E80" s="2" t="s">
        <v>176</v>
      </c>
      <c r="F80" s="2" t="s">
        <v>177</v>
      </c>
      <c r="G80" s="8">
        <v>8996</v>
      </c>
      <c r="H80" s="8">
        <v>329</v>
      </c>
      <c r="I80" s="8">
        <v>378</v>
      </c>
      <c r="J80" s="8">
        <v>2384</v>
      </c>
      <c r="K80" s="9">
        <v>39404</v>
      </c>
      <c r="L80" s="2">
        <v>242724</v>
      </c>
      <c r="M80" s="2" t="s">
        <v>24</v>
      </c>
    </row>
    <row r="81" spans="1:13" ht="14.25" customHeight="1">
      <c r="A81" s="2" t="s">
        <v>178</v>
      </c>
      <c r="B81" s="2" t="s">
        <v>21</v>
      </c>
      <c r="C81" s="3" t="s">
        <v>127</v>
      </c>
      <c r="D81" s="2" t="s">
        <v>16</v>
      </c>
      <c r="E81" s="2" t="s">
        <v>17</v>
      </c>
      <c r="F81" s="2" t="s">
        <v>18</v>
      </c>
      <c r="G81" s="8">
        <v>14173</v>
      </c>
      <c r="H81" s="8">
        <v>294</v>
      </c>
      <c r="I81" s="8">
        <v>257</v>
      </c>
      <c r="J81" s="8">
        <v>1288</v>
      </c>
      <c r="K81" s="9">
        <v>39466</v>
      </c>
      <c r="L81" s="2">
        <v>55563</v>
      </c>
      <c r="M81" s="2" t="s">
        <v>62</v>
      </c>
    </row>
    <row r="82" spans="1:13" ht="14.25" customHeight="1">
      <c r="A82" s="2" t="s">
        <v>179</v>
      </c>
      <c r="B82" s="2" t="s">
        <v>14</v>
      </c>
      <c r="C82" s="3" t="s">
        <v>180</v>
      </c>
      <c r="D82" s="2" t="s">
        <v>43</v>
      </c>
      <c r="E82" s="2" t="s">
        <v>35</v>
      </c>
      <c r="F82" s="2" t="s">
        <v>36</v>
      </c>
      <c r="G82" s="8">
        <v>6673</v>
      </c>
      <c r="H82" s="8">
        <v>826</v>
      </c>
      <c r="I82" s="8">
        <v>321</v>
      </c>
      <c r="J82" s="8">
        <v>577</v>
      </c>
      <c r="K82" s="9">
        <v>19262</v>
      </c>
      <c r="L82" s="2">
        <v>132324</v>
      </c>
      <c r="M82" s="2" t="s">
        <v>62</v>
      </c>
    </row>
    <row r="83" spans="1:13" ht="14.25" customHeight="1">
      <c r="A83" s="2" t="s">
        <v>181</v>
      </c>
      <c r="B83" s="2" t="s">
        <v>21</v>
      </c>
      <c r="C83" s="3" t="s">
        <v>182</v>
      </c>
      <c r="D83" s="2" t="s">
        <v>34</v>
      </c>
      <c r="E83" s="2" t="s">
        <v>44</v>
      </c>
      <c r="F83" s="2" t="s">
        <v>45</v>
      </c>
      <c r="G83" s="8">
        <v>22914</v>
      </c>
      <c r="H83" s="8">
        <v>954</v>
      </c>
      <c r="I83" s="8">
        <v>584</v>
      </c>
      <c r="J83" s="8">
        <v>1519</v>
      </c>
      <c r="K83" s="9">
        <v>13637</v>
      </c>
      <c r="L83" s="2">
        <v>49847</v>
      </c>
      <c r="M83" s="2" t="s">
        <v>19</v>
      </c>
    </row>
    <row r="84" spans="1:13" ht="14.25" customHeight="1">
      <c r="A84" s="2" t="s">
        <v>183</v>
      </c>
      <c r="B84" s="2" t="s">
        <v>26</v>
      </c>
      <c r="C84" s="3" t="s">
        <v>184</v>
      </c>
      <c r="D84" s="2" t="s">
        <v>43</v>
      </c>
      <c r="E84" s="2" t="s">
        <v>40</v>
      </c>
      <c r="F84" s="2"/>
      <c r="G84" s="8">
        <v>17781</v>
      </c>
      <c r="H84" s="8">
        <v>993</v>
      </c>
      <c r="I84" s="8">
        <v>627</v>
      </c>
      <c r="J84" s="8">
        <v>2187</v>
      </c>
      <c r="K84" s="9">
        <v>9609</v>
      </c>
      <c r="L84" s="2">
        <v>66155</v>
      </c>
      <c r="M84" s="2" t="s">
        <v>37</v>
      </c>
    </row>
    <row r="85" spans="1:13" ht="14.25" customHeight="1">
      <c r="A85" s="2" t="s">
        <v>185</v>
      </c>
      <c r="B85" s="2" t="s">
        <v>21</v>
      </c>
      <c r="C85" s="3" t="s">
        <v>186</v>
      </c>
      <c r="D85" s="2" t="s">
        <v>16</v>
      </c>
      <c r="E85" s="2" t="s">
        <v>22</v>
      </c>
      <c r="F85" s="2" t="s">
        <v>23</v>
      </c>
      <c r="G85" s="8">
        <v>15051</v>
      </c>
      <c r="H85" s="8">
        <v>268</v>
      </c>
      <c r="I85" s="8">
        <v>251</v>
      </c>
      <c r="J85" s="8">
        <v>783</v>
      </c>
      <c r="K85" s="9">
        <v>34154</v>
      </c>
      <c r="L85" s="2">
        <v>119671</v>
      </c>
      <c r="M85" s="2" t="s">
        <v>37</v>
      </c>
    </row>
    <row r="86" spans="1:13" ht="14.25" customHeight="1">
      <c r="A86" s="2" t="s">
        <v>187</v>
      </c>
      <c r="B86" s="2" t="s">
        <v>14</v>
      </c>
      <c r="C86" s="3" t="s">
        <v>104</v>
      </c>
      <c r="D86" s="2" t="s">
        <v>16</v>
      </c>
      <c r="E86" s="2" t="s">
        <v>44</v>
      </c>
      <c r="F86" s="2" t="s">
        <v>45</v>
      </c>
      <c r="G86" s="8">
        <v>8881</v>
      </c>
      <c r="H86" s="8">
        <v>210</v>
      </c>
      <c r="I86" s="8">
        <v>673</v>
      </c>
      <c r="J86" s="8">
        <v>1565</v>
      </c>
      <c r="K86" s="9">
        <v>24847</v>
      </c>
      <c r="L86" s="2">
        <v>156891</v>
      </c>
      <c r="M86" s="2" t="s">
        <v>31</v>
      </c>
    </row>
    <row r="87" spans="1:13" ht="14.25" customHeight="1">
      <c r="A87" s="2" t="s">
        <v>188</v>
      </c>
      <c r="B87" s="2" t="s">
        <v>14</v>
      </c>
      <c r="C87" s="3" t="s">
        <v>189</v>
      </c>
      <c r="D87" s="2" t="s">
        <v>43</v>
      </c>
      <c r="E87" s="2" t="s">
        <v>55</v>
      </c>
      <c r="F87" s="2" t="s">
        <v>35</v>
      </c>
      <c r="G87" s="8">
        <v>8949</v>
      </c>
      <c r="H87" s="8">
        <v>1477</v>
      </c>
      <c r="I87" s="8">
        <v>424</v>
      </c>
      <c r="J87" s="8">
        <v>1030</v>
      </c>
      <c r="K87" s="9">
        <v>58052</v>
      </c>
      <c r="L87" s="2">
        <v>123310</v>
      </c>
      <c r="M87" s="2" t="s">
        <v>19</v>
      </c>
    </row>
    <row r="88" spans="1:13" ht="14.25" customHeight="1">
      <c r="A88" s="2" t="s">
        <v>190</v>
      </c>
      <c r="B88" s="2" t="s">
        <v>53</v>
      </c>
      <c r="C88" s="3" t="s">
        <v>191</v>
      </c>
      <c r="D88" s="2" t="s">
        <v>28</v>
      </c>
      <c r="E88" s="2" t="s">
        <v>55</v>
      </c>
      <c r="F88" s="2" t="s">
        <v>35</v>
      </c>
      <c r="G88" s="8">
        <v>11521</v>
      </c>
      <c r="H88" s="8">
        <v>1071</v>
      </c>
      <c r="I88" s="8">
        <v>762</v>
      </c>
      <c r="J88" s="8">
        <v>2539</v>
      </c>
      <c r="K88" s="9">
        <v>12701</v>
      </c>
      <c r="L88" s="2">
        <v>238350</v>
      </c>
      <c r="M88" s="2" t="s">
        <v>31</v>
      </c>
    </row>
    <row r="89" spans="1:13" ht="14.25" customHeight="1">
      <c r="A89" s="2" t="s">
        <v>192</v>
      </c>
      <c r="B89" s="2" t="s">
        <v>26</v>
      </c>
      <c r="C89" s="3" t="s">
        <v>193</v>
      </c>
      <c r="D89" s="2" t="s">
        <v>28</v>
      </c>
      <c r="E89" s="2" t="s">
        <v>22</v>
      </c>
      <c r="F89" s="2" t="s">
        <v>23</v>
      </c>
      <c r="G89" s="8">
        <v>24625</v>
      </c>
      <c r="H89" s="8">
        <v>749</v>
      </c>
      <c r="I89" s="8">
        <v>193</v>
      </c>
      <c r="J89" s="8">
        <v>1340</v>
      </c>
      <c r="K89" s="9">
        <v>4890</v>
      </c>
      <c r="L89" s="2">
        <v>189381</v>
      </c>
      <c r="M89" s="2" t="s">
        <v>19</v>
      </c>
    </row>
    <row r="90" spans="1:13" ht="14.25" customHeight="1">
      <c r="A90" s="2" t="s">
        <v>194</v>
      </c>
      <c r="B90" s="2" t="s">
        <v>21</v>
      </c>
      <c r="C90" s="4">
        <v>45923</v>
      </c>
      <c r="D90" s="2" t="s">
        <v>16</v>
      </c>
      <c r="E90" s="2" t="s">
        <v>176</v>
      </c>
      <c r="F90" s="2" t="s">
        <v>177</v>
      </c>
      <c r="G90" s="8">
        <v>10017</v>
      </c>
      <c r="H90" s="8">
        <v>1357</v>
      </c>
      <c r="I90" s="8">
        <v>966</v>
      </c>
      <c r="J90" s="8">
        <v>2871</v>
      </c>
      <c r="K90" s="9">
        <v>14800</v>
      </c>
      <c r="L90" s="2">
        <v>171691</v>
      </c>
      <c r="M90" s="2" t="s">
        <v>24</v>
      </c>
    </row>
    <row r="91" spans="1:13" ht="14.25" customHeight="1">
      <c r="A91" s="2" t="s">
        <v>195</v>
      </c>
      <c r="B91" s="2" t="s">
        <v>53</v>
      </c>
      <c r="C91" s="3" t="s">
        <v>196</v>
      </c>
      <c r="D91" s="2" t="s">
        <v>16</v>
      </c>
      <c r="E91" s="2" t="s">
        <v>35</v>
      </c>
      <c r="F91" s="2" t="s">
        <v>69</v>
      </c>
      <c r="G91" s="8">
        <v>8941</v>
      </c>
      <c r="H91" s="8">
        <v>911</v>
      </c>
      <c r="I91" s="8">
        <v>166</v>
      </c>
      <c r="J91" s="8">
        <v>1217</v>
      </c>
      <c r="K91" s="9">
        <v>68817</v>
      </c>
      <c r="L91" s="2">
        <v>221180</v>
      </c>
      <c r="M91" s="2" t="s">
        <v>62</v>
      </c>
    </row>
    <row r="92" spans="1:13" ht="14.25" customHeight="1">
      <c r="A92" s="2" t="s">
        <v>197</v>
      </c>
      <c r="B92" s="2" t="s">
        <v>21</v>
      </c>
      <c r="C92" s="4">
        <v>45924</v>
      </c>
      <c r="D92" s="2" t="s">
        <v>28</v>
      </c>
      <c r="E92" s="2" t="s">
        <v>44</v>
      </c>
      <c r="F92" s="2" t="s">
        <v>45</v>
      </c>
      <c r="G92" s="8">
        <v>12209</v>
      </c>
      <c r="H92" s="8">
        <v>222</v>
      </c>
      <c r="I92" s="8">
        <v>479</v>
      </c>
      <c r="J92" s="8">
        <v>2748</v>
      </c>
      <c r="K92" s="9">
        <v>24615</v>
      </c>
      <c r="L92" s="2">
        <v>74707</v>
      </c>
      <c r="M92" s="2" t="s">
        <v>24</v>
      </c>
    </row>
    <row r="93" spans="1:13" ht="14.25" customHeight="1">
      <c r="A93" s="2" t="s">
        <v>198</v>
      </c>
      <c r="B93" s="2" t="s">
        <v>21</v>
      </c>
      <c r="C93" s="3" t="s">
        <v>137</v>
      </c>
      <c r="D93" s="2" t="s">
        <v>28</v>
      </c>
      <c r="E93" s="2" t="s">
        <v>22</v>
      </c>
      <c r="F93" s="2" t="s">
        <v>23</v>
      </c>
      <c r="G93" s="8">
        <v>19715</v>
      </c>
      <c r="H93" s="8">
        <v>1014</v>
      </c>
      <c r="I93" s="8">
        <v>718</v>
      </c>
      <c r="J93" s="8">
        <v>1185</v>
      </c>
      <c r="K93" s="9">
        <v>37625</v>
      </c>
      <c r="L93" s="2">
        <v>191409</v>
      </c>
      <c r="M93" s="2" t="s">
        <v>19</v>
      </c>
    </row>
    <row r="94" spans="1:13" ht="14.25" customHeight="1">
      <c r="A94" s="2" t="s">
        <v>199</v>
      </c>
      <c r="B94" s="2" t="s">
        <v>53</v>
      </c>
      <c r="C94" s="3" t="s">
        <v>200</v>
      </c>
      <c r="D94" s="2" t="s">
        <v>43</v>
      </c>
      <c r="E94" s="2" t="s">
        <v>55</v>
      </c>
      <c r="F94" s="2" t="s">
        <v>35</v>
      </c>
      <c r="G94" s="8">
        <v>22645</v>
      </c>
      <c r="H94" s="8">
        <v>545</v>
      </c>
      <c r="I94" s="8">
        <v>972</v>
      </c>
      <c r="J94" s="8">
        <v>321</v>
      </c>
      <c r="K94" s="9">
        <v>8396</v>
      </c>
      <c r="L94" s="2">
        <v>121537</v>
      </c>
      <c r="M94" s="2" t="s">
        <v>62</v>
      </c>
    </row>
    <row r="95" spans="1:13" ht="14.25" customHeight="1">
      <c r="A95" s="2" t="s">
        <v>201</v>
      </c>
      <c r="B95" s="2" t="s">
        <v>53</v>
      </c>
      <c r="C95" s="3" t="s">
        <v>172</v>
      </c>
      <c r="D95" s="2" t="s">
        <v>43</v>
      </c>
      <c r="E95" s="2" t="s">
        <v>55</v>
      </c>
      <c r="F95" s="2" t="s">
        <v>35</v>
      </c>
      <c r="G95" s="8">
        <v>11550</v>
      </c>
      <c r="H95" s="8">
        <v>501</v>
      </c>
      <c r="I95" s="8">
        <v>646</v>
      </c>
      <c r="J95" s="8">
        <v>773</v>
      </c>
      <c r="K95" s="9">
        <v>17841</v>
      </c>
      <c r="L95" s="2">
        <v>237576</v>
      </c>
      <c r="M95" s="2" t="s">
        <v>37</v>
      </c>
    </row>
    <row r="96" spans="1:13" ht="14.25" customHeight="1">
      <c r="A96" s="2" t="s">
        <v>202</v>
      </c>
      <c r="B96" s="2" t="s">
        <v>53</v>
      </c>
      <c r="C96" s="3" t="s">
        <v>203</v>
      </c>
      <c r="D96" s="2" t="s">
        <v>28</v>
      </c>
      <c r="E96" s="2" t="s">
        <v>35</v>
      </c>
      <c r="F96" s="2" t="s">
        <v>36</v>
      </c>
      <c r="G96" s="8">
        <v>23499</v>
      </c>
      <c r="H96" s="8">
        <v>562</v>
      </c>
      <c r="I96" s="8">
        <v>964</v>
      </c>
      <c r="J96" s="8">
        <v>2557</v>
      </c>
      <c r="K96" s="9">
        <v>56890</v>
      </c>
      <c r="L96" s="2">
        <v>218686</v>
      </c>
      <c r="M96" s="2" t="s">
        <v>37</v>
      </c>
    </row>
    <row r="97" spans="1:13" ht="14.25" customHeight="1">
      <c r="A97" s="2" t="s">
        <v>204</v>
      </c>
      <c r="B97" s="2" t="s">
        <v>53</v>
      </c>
      <c r="C97" s="3" t="s">
        <v>205</v>
      </c>
      <c r="D97" s="2" t="s">
        <v>43</v>
      </c>
      <c r="E97" s="2" t="s">
        <v>48</v>
      </c>
      <c r="F97" s="2" t="s">
        <v>49</v>
      </c>
      <c r="G97" s="8">
        <v>6637</v>
      </c>
      <c r="H97" s="8">
        <v>595</v>
      </c>
      <c r="I97" s="8">
        <v>161</v>
      </c>
      <c r="J97" s="8">
        <v>2653</v>
      </c>
      <c r="K97" s="9">
        <v>19334</v>
      </c>
      <c r="L97" s="2">
        <v>131155</v>
      </c>
      <c r="M97" s="2" t="s">
        <v>31</v>
      </c>
    </row>
    <row r="98" spans="1:13" ht="14.25" customHeight="1">
      <c r="A98" s="2" t="s">
        <v>206</v>
      </c>
      <c r="B98" s="2" t="s">
        <v>53</v>
      </c>
      <c r="C98" s="3" t="s">
        <v>207</v>
      </c>
      <c r="D98" s="2" t="s">
        <v>43</v>
      </c>
      <c r="E98" s="2" t="s">
        <v>176</v>
      </c>
      <c r="F98" s="2" t="s">
        <v>177</v>
      </c>
      <c r="G98" s="8">
        <v>6854</v>
      </c>
      <c r="H98" s="8">
        <v>417</v>
      </c>
      <c r="I98" s="8">
        <v>467</v>
      </c>
      <c r="J98" s="8">
        <v>1003</v>
      </c>
      <c r="K98" s="9">
        <v>61333</v>
      </c>
      <c r="L98" s="2">
        <v>40281</v>
      </c>
      <c r="M98" s="2" t="s">
        <v>19</v>
      </c>
    </row>
    <row r="99" spans="1:13" ht="14.25" customHeight="1">
      <c r="A99" s="2" t="s">
        <v>208</v>
      </c>
      <c r="B99" s="2" t="s">
        <v>21</v>
      </c>
      <c r="C99" s="3" t="s">
        <v>209</v>
      </c>
      <c r="D99" s="2" t="s">
        <v>34</v>
      </c>
      <c r="E99" s="2" t="s">
        <v>44</v>
      </c>
      <c r="F99" s="2" t="s">
        <v>45</v>
      </c>
      <c r="G99" s="8">
        <v>21561</v>
      </c>
      <c r="H99" s="8">
        <v>340</v>
      </c>
      <c r="I99" s="8">
        <v>741</v>
      </c>
      <c r="J99" s="8">
        <v>986</v>
      </c>
      <c r="K99" s="9">
        <v>24826</v>
      </c>
      <c r="L99" s="2">
        <v>198492</v>
      </c>
      <c r="M99" s="2" t="s">
        <v>19</v>
      </c>
    </row>
    <row r="100" spans="1:13" ht="14.25" customHeight="1">
      <c r="A100" s="2" t="s">
        <v>210</v>
      </c>
      <c r="B100" s="2" t="s">
        <v>53</v>
      </c>
      <c r="C100" s="3" t="s">
        <v>211</v>
      </c>
      <c r="D100" s="2" t="s">
        <v>43</v>
      </c>
      <c r="E100" s="2" t="s">
        <v>44</v>
      </c>
      <c r="F100" s="2" t="s">
        <v>45</v>
      </c>
      <c r="G100" s="8">
        <v>12320</v>
      </c>
      <c r="H100" s="8">
        <v>1157</v>
      </c>
      <c r="I100" s="8">
        <v>365</v>
      </c>
      <c r="J100" s="8">
        <v>584</v>
      </c>
      <c r="K100" s="9">
        <v>66634</v>
      </c>
      <c r="L100" s="2">
        <v>210102</v>
      </c>
      <c r="M100" s="2" t="s">
        <v>37</v>
      </c>
    </row>
    <row r="101" spans="1:13" ht="14.25" customHeight="1">
      <c r="A101" s="2" t="s">
        <v>212</v>
      </c>
      <c r="B101" s="2" t="s">
        <v>26</v>
      </c>
      <c r="C101" s="4">
        <v>45925</v>
      </c>
      <c r="D101" s="2" t="s">
        <v>16</v>
      </c>
      <c r="E101" s="2" t="s">
        <v>40</v>
      </c>
      <c r="F101" s="2"/>
      <c r="G101" s="8">
        <v>20564</v>
      </c>
      <c r="H101" s="8">
        <v>1433</v>
      </c>
      <c r="I101" s="8">
        <v>488</v>
      </c>
      <c r="J101" s="8">
        <v>1015</v>
      </c>
      <c r="K101" s="9">
        <v>24333</v>
      </c>
      <c r="L101" s="2">
        <v>172130</v>
      </c>
      <c r="M101" s="2" t="s">
        <v>24</v>
      </c>
    </row>
    <row r="102" spans="1:13" ht="14.25" customHeight="1">
      <c r="A102" s="2" t="s">
        <v>213</v>
      </c>
      <c r="B102" s="2" t="s">
        <v>14</v>
      </c>
      <c r="C102" s="3" t="s">
        <v>214</v>
      </c>
      <c r="D102" s="2" t="s">
        <v>43</v>
      </c>
      <c r="E102" s="2" t="s">
        <v>22</v>
      </c>
      <c r="F102" s="2" t="s">
        <v>23</v>
      </c>
      <c r="G102" s="8">
        <v>6892</v>
      </c>
      <c r="H102" s="8">
        <v>1184</v>
      </c>
      <c r="I102" s="8">
        <v>925</v>
      </c>
      <c r="J102" s="8">
        <v>1062</v>
      </c>
      <c r="K102" s="9">
        <v>75008</v>
      </c>
      <c r="L102" s="2">
        <v>116260</v>
      </c>
      <c r="M102" s="2" t="s">
        <v>62</v>
      </c>
    </row>
    <row r="103" spans="1:13" ht="14.25" customHeight="1">
      <c r="A103" s="2" t="s">
        <v>215</v>
      </c>
      <c r="B103" s="2" t="s">
        <v>53</v>
      </c>
      <c r="C103" s="4">
        <v>45926</v>
      </c>
      <c r="D103" s="2" t="s">
        <v>43</v>
      </c>
      <c r="E103" s="2" t="s">
        <v>40</v>
      </c>
      <c r="F103" s="2"/>
      <c r="G103" s="8">
        <v>9043</v>
      </c>
      <c r="H103" s="8">
        <v>1192</v>
      </c>
      <c r="I103" s="8">
        <v>810</v>
      </c>
      <c r="J103" s="8">
        <v>1550</v>
      </c>
      <c r="K103" s="9">
        <v>5221</v>
      </c>
      <c r="L103" s="2">
        <v>199476</v>
      </c>
      <c r="M103" s="2" t="s">
        <v>24</v>
      </c>
    </row>
    <row r="104" spans="1:13" ht="14.25" customHeight="1">
      <c r="A104" s="2" t="s">
        <v>216</v>
      </c>
      <c r="B104" s="2" t="s">
        <v>53</v>
      </c>
      <c r="C104" s="4">
        <v>45927</v>
      </c>
      <c r="D104" s="2" t="s">
        <v>28</v>
      </c>
      <c r="E104" s="2" t="s">
        <v>22</v>
      </c>
      <c r="F104" s="2" t="s">
        <v>23</v>
      </c>
      <c r="G104" s="8">
        <v>18521</v>
      </c>
      <c r="H104" s="8">
        <v>1027</v>
      </c>
      <c r="I104" s="8">
        <v>230</v>
      </c>
      <c r="J104" s="8">
        <v>1247</v>
      </c>
      <c r="K104" s="9">
        <v>39588</v>
      </c>
      <c r="L104" s="2">
        <v>200928</v>
      </c>
      <c r="M104" s="2" t="s">
        <v>24</v>
      </c>
    </row>
    <row r="105" spans="1:13" ht="14.25" customHeight="1">
      <c r="A105" s="2" t="s">
        <v>217</v>
      </c>
      <c r="B105" s="2" t="s">
        <v>21</v>
      </c>
      <c r="C105" s="3" t="s">
        <v>218</v>
      </c>
      <c r="D105" s="2" t="s">
        <v>16</v>
      </c>
      <c r="E105" s="2" t="s">
        <v>29</v>
      </c>
      <c r="F105" s="2" t="s">
        <v>30</v>
      </c>
      <c r="G105" s="8">
        <v>24711</v>
      </c>
      <c r="H105" s="8">
        <v>882</v>
      </c>
      <c r="I105" s="8">
        <v>876</v>
      </c>
      <c r="J105" s="8">
        <v>2728</v>
      </c>
      <c r="K105" s="9">
        <v>32015</v>
      </c>
      <c r="L105" s="2">
        <v>180272</v>
      </c>
      <c r="M105" s="2" t="s">
        <v>37</v>
      </c>
    </row>
    <row r="106" spans="1:13" ht="14.25" customHeight="1">
      <c r="A106" s="2" t="s">
        <v>219</v>
      </c>
      <c r="B106" s="2" t="s">
        <v>53</v>
      </c>
      <c r="C106" s="3" t="s">
        <v>220</v>
      </c>
      <c r="D106" s="2" t="s">
        <v>43</v>
      </c>
      <c r="E106" s="2" t="s">
        <v>55</v>
      </c>
      <c r="F106" s="2" t="s">
        <v>35</v>
      </c>
      <c r="G106" s="8">
        <v>21856</v>
      </c>
      <c r="H106" s="8">
        <v>1203</v>
      </c>
      <c r="I106" s="8">
        <v>634</v>
      </c>
      <c r="J106" s="8">
        <v>2807</v>
      </c>
      <c r="K106" s="9">
        <v>3647</v>
      </c>
      <c r="L106" s="2">
        <v>104178</v>
      </c>
      <c r="M106" s="2" t="s">
        <v>37</v>
      </c>
    </row>
    <row r="107" spans="1:13" ht="14.25" customHeight="1">
      <c r="A107" s="2" t="s">
        <v>221</v>
      </c>
      <c r="B107" s="2" t="s">
        <v>53</v>
      </c>
      <c r="C107" s="3" t="s">
        <v>222</v>
      </c>
      <c r="D107" s="2" t="s">
        <v>43</v>
      </c>
      <c r="E107" s="2" t="s">
        <v>48</v>
      </c>
      <c r="F107" s="2" t="s">
        <v>49</v>
      </c>
      <c r="G107" s="8">
        <v>23833</v>
      </c>
      <c r="H107" s="8">
        <v>555</v>
      </c>
      <c r="I107" s="8">
        <v>523</v>
      </c>
      <c r="J107" s="8">
        <v>1330</v>
      </c>
      <c r="K107" s="9">
        <v>69141</v>
      </c>
      <c r="L107" s="2">
        <v>73997</v>
      </c>
      <c r="M107" s="2" t="s">
        <v>37</v>
      </c>
    </row>
    <row r="108" spans="1:13" ht="14.25" customHeight="1">
      <c r="A108" s="2" t="s">
        <v>223</v>
      </c>
      <c r="B108" s="2" t="s">
        <v>53</v>
      </c>
      <c r="C108" s="3" t="s">
        <v>224</v>
      </c>
      <c r="D108" s="2" t="s">
        <v>34</v>
      </c>
      <c r="E108" s="2" t="s">
        <v>35</v>
      </c>
      <c r="F108" s="2" t="s">
        <v>36</v>
      </c>
      <c r="G108" s="8">
        <v>21216</v>
      </c>
      <c r="H108" s="8">
        <v>1207</v>
      </c>
      <c r="I108" s="8">
        <v>859</v>
      </c>
      <c r="J108" s="8">
        <v>328</v>
      </c>
      <c r="K108" s="9">
        <v>91296</v>
      </c>
      <c r="L108" s="2">
        <v>196683</v>
      </c>
      <c r="M108" s="2" t="s">
        <v>31</v>
      </c>
    </row>
    <row r="109" spans="1:13" ht="14.25" customHeight="1">
      <c r="A109" s="2" t="s">
        <v>225</v>
      </c>
      <c r="B109" s="2" t="s">
        <v>21</v>
      </c>
      <c r="C109" s="4">
        <v>45928</v>
      </c>
      <c r="D109" s="2" t="s">
        <v>43</v>
      </c>
      <c r="E109" s="2" t="s">
        <v>48</v>
      </c>
      <c r="F109" s="2" t="s">
        <v>49</v>
      </c>
      <c r="G109" s="8">
        <v>21963</v>
      </c>
      <c r="H109" s="8">
        <v>1356</v>
      </c>
      <c r="I109" s="8">
        <v>349</v>
      </c>
      <c r="J109" s="8">
        <v>1206</v>
      </c>
      <c r="K109" s="9">
        <v>51755</v>
      </c>
      <c r="L109" s="2">
        <v>159273</v>
      </c>
      <c r="M109" s="2" t="s">
        <v>24</v>
      </c>
    </row>
    <row r="110" spans="1:13" ht="14.25" customHeight="1">
      <c r="A110" s="2" t="s">
        <v>226</v>
      </c>
      <c r="B110" s="2" t="s">
        <v>53</v>
      </c>
      <c r="C110" s="3" t="s">
        <v>227</v>
      </c>
      <c r="D110" s="2" t="s">
        <v>43</v>
      </c>
      <c r="E110" s="2" t="s">
        <v>48</v>
      </c>
      <c r="F110" s="2" t="s">
        <v>49</v>
      </c>
      <c r="G110" s="8">
        <v>24355</v>
      </c>
      <c r="H110" s="8">
        <v>1087</v>
      </c>
      <c r="I110" s="8">
        <v>686</v>
      </c>
      <c r="J110" s="8">
        <v>2426</v>
      </c>
      <c r="K110" s="9">
        <v>24963</v>
      </c>
      <c r="L110" s="2">
        <v>212307</v>
      </c>
      <c r="M110" s="2" t="s">
        <v>19</v>
      </c>
    </row>
    <row r="111" spans="1:13" ht="14.25" customHeight="1">
      <c r="A111" s="2" t="s">
        <v>228</v>
      </c>
      <c r="B111" s="2" t="s">
        <v>14</v>
      </c>
      <c r="C111" s="3" t="s">
        <v>229</v>
      </c>
      <c r="D111" s="2" t="s">
        <v>34</v>
      </c>
      <c r="E111" s="2" t="s">
        <v>48</v>
      </c>
      <c r="F111" s="2" t="s">
        <v>49</v>
      </c>
      <c r="G111" s="8">
        <v>6164</v>
      </c>
      <c r="H111" s="8">
        <v>326</v>
      </c>
      <c r="I111" s="8">
        <v>615</v>
      </c>
      <c r="J111" s="8">
        <v>2806</v>
      </c>
      <c r="K111" s="9">
        <v>38579</v>
      </c>
      <c r="L111" s="2">
        <v>206129</v>
      </c>
      <c r="M111" s="2" t="s">
        <v>62</v>
      </c>
    </row>
    <row r="112" spans="1:13" ht="14.25" customHeight="1">
      <c r="A112" s="2" t="s">
        <v>230</v>
      </c>
      <c r="B112" s="2" t="s">
        <v>21</v>
      </c>
      <c r="C112" s="3" t="s">
        <v>231</v>
      </c>
      <c r="D112" s="2" t="s">
        <v>28</v>
      </c>
      <c r="E112" s="2" t="s">
        <v>40</v>
      </c>
      <c r="F112" s="2"/>
      <c r="G112" s="8">
        <v>9941</v>
      </c>
      <c r="H112" s="8">
        <v>1329</v>
      </c>
      <c r="I112" s="8">
        <v>238</v>
      </c>
      <c r="J112" s="8">
        <v>869</v>
      </c>
      <c r="K112" s="9">
        <v>40281</v>
      </c>
      <c r="L112" s="2">
        <v>172311</v>
      </c>
      <c r="M112" s="2" t="s">
        <v>31</v>
      </c>
    </row>
    <row r="113" spans="1:13" ht="14.25" customHeight="1">
      <c r="A113" s="2" t="s">
        <v>232</v>
      </c>
      <c r="B113" s="2" t="s">
        <v>14</v>
      </c>
      <c r="C113" s="3" t="s">
        <v>233</v>
      </c>
      <c r="D113" s="2" t="s">
        <v>43</v>
      </c>
      <c r="E113" s="2" t="s">
        <v>22</v>
      </c>
      <c r="F113" s="2" t="s">
        <v>23</v>
      </c>
      <c r="G113" s="8">
        <v>16388</v>
      </c>
      <c r="H113" s="8">
        <v>1208</v>
      </c>
      <c r="I113" s="8">
        <v>417</v>
      </c>
      <c r="J113" s="8">
        <v>2306</v>
      </c>
      <c r="K113" s="9">
        <v>16865</v>
      </c>
      <c r="L113" s="2">
        <v>236733</v>
      </c>
      <c r="M113" s="2" t="s">
        <v>19</v>
      </c>
    </row>
    <row r="114" spans="1:13" ht="14.25" customHeight="1">
      <c r="A114" s="2" t="s">
        <v>234</v>
      </c>
      <c r="B114" s="2" t="s">
        <v>21</v>
      </c>
      <c r="C114" s="4">
        <v>45929</v>
      </c>
      <c r="D114" s="2" t="s">
        <v>34</v>
      </c>
      <c r="E114" s="2" t="s">
        <v>77</v>
      </c>
      <c r="F114" s="2" t="s">
        <v>40</v>
      </c>
      <c r="G114" s="8">
        <v>7569</v>
      </c>
      <c r="H114" s="8">
        <v>803</v>
      </c>
      <c r="I114" s="8">
        <v>804</v>
      </c>
      <c r="J114" s="8">
        <v>1753</v>
      </c>
      <c r="K114" s="9">
        <v>43582</v>
      </c>
      <c r="L114" s="2">
        <v>166945</v>
      </c>
      <c r="M114" s="2" t="s">
        <v>24</v>
      </c>
    </row>
    <row r="115" spans="1:13" ht="14.25" customHeight="1">
      <c r="A115" s="2" t="s">
        <v>235</v>
      </c>
      <c r="B115" s="2" t="s">
        <v>53</v>
      </c>
      <c r="C115" s="3" t="s">
        <v>236</v>
      </c>
      <c r="D115" s="2" t="s">
        <v>16</v>
      </c>
      <c r="E115" s="2" t="s">
        <v>29</v>
      </c>
      <c r="F115" s="2" t="s">
        <v>30</v>
      </c>
      <c r="G115" s="8">
        <v>6300</v>
      </c>
      <c r="H115" s="8">
        <v>1213</v>
      </c>
      <c r="I115" s="8">
        <v>720</v>
      </c>
      <c r="J115" s="8">
        <v>1037</v>
      </c>
      <c r="K115" s="9">
        <v>39569</v>
      </c>
      <c r="L115" s="2">
        <v>85272</v>
      </c>
      <c r="M115" s="2" t="s">
        <v>37</v>
      </c>
    </row>
    <row r="116" spans="1:13" ht="14.25" customHeight="1">
      <c r="A116" s="2" t="s">
        <v>237</v>
      </c>
      <c r="B116" s="2" t="s">
        <v>14</v>
      </c>
      <c r="C116" s="4">
        <v>45930</v>
      </c>
      <c r="D116" s="2" t="s">
        <v>28</v>
      </c>
      <c r="E116" s="2" t="s">
        <v>17</v>
      </c>
      <c r="F116" s="2" t="s">
        <v>18</v>
      </c>
      <c r="G116" s="8">
        <v>8269</v>
      </c>
      <c r="H116" s="8">
        <v>250</v>
      </c>
      <c r="I116" s="8">
        <v>638</v>
      </c>
      <c r="J116" s="8">
        <v>815</v>
      </c>
      <c r="K116" s="9">
        <v>41991</v>
      </c>
      <c r="L116" s="2">
        <v>129393</v>
      </c>
      <c r="M116" s="2" t="s">
        <v>24</v>
      </c>
    </row>
    <row r="117" spans="1:13" ht="14.25" customHeight="1">
      <c r="A117" s="2" t="s">
        <v>238</v>
      </c>
      <c r="B117" s="2" t="s">
        <v>21</v>
      </c>
      <c r="C117" s="3" t="s">
        <v>239</v>
      </c>
      <c r="D117" s="2" t="s">
        <v>16</v>
      </c>
      <c r="E117" s="2" t="s">
        <v>48</v>
      </c>
      <c r="F117" s="2" t="s">
        <v>49</v>
      </c>
      <c r="G117" s="8">
        <v>5818</v>
      </c>
      <c r="H117" s="8">
        <v>1252</v>
      </c>
      <c r="I117" s="8">
        <v>687</v>
      </c>
      <c r="J117" s="8">
        <v>2300</v>
      </c>
      <c r="K117" s="9">
        <v>25081</v>
      </c>
      <c r="L117" s="2">
        <v>101212</v>
      </c>
      <c r="M117" s="2" t="s">
        <v>62</v>
      </c>
    </row>
    <row r="118" spans="1:13" ht="14.25" customHeight="1">
      <c r="A118" s="2" t="s">
        <v>240</v>
      </c>
      <c r="B118" s="2" t="s">
        <v>26</v>
      </c>
      <c r="C118" s="3" t="s">
        <v>241</v>
      </c>
      <c r="D118" s="2" t="s">
        <v>16</v>
      </c>
      <c r="E118" s="2" t="s">
        <v>35</v>
      </c>
      <c r="F118" s="2" t="s">
        <v>69</v>
      </c>
      <c r="G118" s="8">
        <v>14015</v>
      </c>
      <c r="H118" s="8">
        <v>978</v>
      </c>
      <c r="I118" s="8">
        <v>196</v>
      </c>
      <c r="J118" s="8">
        <v>2744</v>
      </c>
      <c r="K118" s="9">
        <v>20190</v>
      </c>
      <c r="L118" s="2">
        <v>186470</v>
      </c>
      <c r="M118" s="2" t="s">
        <v>31</v>
      </c>
    </row>
    <row r="119" spans="1:13" ht="14.25" customHeight="1">
      <c r="A119" s="2" t="s">
        <v>242</v>
      </c>
      <c r="B119" s="2" t="s">
        <v>53</v>
      </c>
      <c r="C119" s="3" t="s">
        <v>241</v>
      </c>
      <c r="D119" s="2" t="s">
        <v>34</v>
      </c>
      <c r="E119" s="2" t="s">
        <v>40</v>
      </c>
      <c r="F119" s="2"/>
      <c r="G119" s="8">
        <v>14234</v>
      </c>
      <c r="H119" s="8">
        <v>1013</v>
      </c>
      <c r="I119" s="8">
        <v>437</v>
      </c>
      <c r="J119" s="8">
        <v>338</v>
      </c>
      <c r="K119" s="9">
        <v>67754</v>
      </c>
      <c r="L119" s="2">
        <v>160030</v>
      </c>
      <c r="M119" s="2" t="s">
        <v>31</v>
      </c>
    </row>
    <row r="120" spans="1:13" ht="14.25" customHeight="1">
      <c r="A120" s="2" t="s">
        <v>243</v>
      </c>
      <c r="B120" s="2" t="s">
        <v>21</v>
      </c>
      <c r="C120" s="3" t="s">
        <v>244</v>
      </c>
      <c r="D120" s="2" t="s">
        <v>43</v>
      </c>
      <c r="E120" s="2" t="s">
        <v>176</v>
      </c>
      <c r="F120" s="2" t="s">
        <v>177</v>
      </c>
      <c r="G120" s="8">
        <v>20290</v>
      </c>
      <c r="H120" s="8">
        <v>619</v>
      </c>
      <c r="I120" s="8">
        <v>927</v>
      </c>
      <c r="J120" s="8">
        <v>1186</v>
      </c>
      <c r="K120" s="9">
        <v>8924</v>
      </c>
      <c r="L120" s="2">
        <v>96503</v>
      </c>
      <c r="M120" s="2" t="s">
        <v>62</v>
      </c>
    </row>
    <row r="121" spans="1:13" ht="14.25" customHeight="1">
      <c r="A121" s="2" t="s">
        <v>245</v>
      </c>
      <c r="B121" s="2" t="s">
        <v>26</v>
      </c>
      <c r="C121" s="3" t="s">
        <v>137</v>
      </c>
      <c r="D121" s="2" t="s">
        <v>34</v>
      </c>
      <c r="E121" s="2" t="s">
        <v>35</v>
      </c>
      <c r="F121" s="2" t="s">
        <v>36</v>
      </c>
      <c r="G121" s="8">
        <v>8254</v>
      </c>
      <c r="H121" s="8">
        <v>1405</v>
      </c>
      <c r="I121" s="8">
        <v>165</v>
      </c>
      <c r="J121" s="8">
        <v>2504</v>
      </c>
      <c r="K121" s="9">
        <v>8081</v>
      </c>
      <c r="L121" s="2">
        <v>177710</v>
      </c>
      <c r="M121" s="2" t="s">
        <v>19</v>
      </c>
    </row>
    <row r="122" spans="1:13" ht="14.25" customHeight="1">
      <c r="A122" s="2" t="s">
        <v>246</v>
      </c>
      <c r="B122" s="2" t="s">
        <v>21</v>
      </c>
      <c r="C122" s="3" t="s">
        <v>229</v>
      </c>
      <c r="D122" s="2" t="s">
        <v>34</v>
      </c>
      <c r="E122" s="2" t="s">
        <v>17</v>
      </c>
      <c r="F122" s="2" t="s">
        <v>18</v>
      </c>
      <c r="G122" s="8">
        <v>19144</v>
      </c>
      <c r="H122" s="8">
        <v>1182</v>
      </c>
      <c r="I122" s="8">
        <v>860</v>
      </c>
      <c r="J122" s="8">
        <v>1398</v>
      </c>
      <c r="K122" s="9">
        <v>4185</v>
      </c>
      <c r="L122" s="2">
        <v>46570</v>
      </c>
      <c r="M122" s="2" t="s">
        <v>19</v>
      </c>
    </row>
    <row r="123" spans="1:13" ht="14.25" customHeight="1">
      <c r="A123" s="2" t="s">
        <v>247</v>
      </c>
      <c r="B123" s="2" t="s">
        <v>26</v>
      </c>
      <c r="C123" s="3" t="s">
        <v>248</v>
      </c>
      <c r="D123" s="2" t="s">
        <v>34</v>
      </c>
      <c r="E123" s="2" t="s">
        <v>77</v>
      </c>
      <c r="F123" s="2" t="s">
        <v>40</v>
      </c>
      <c r="G123" s="8">
        <v>9350</v>
      </c>
      <c r="H123" s="8">
        <v>1024</v>
      </c>
      <c r="I123" s="8">
        <v>550</v>
      </c>
      <c r="J123" s="8">
        <v>2123</v>
      </c>
      <c r="K123" s="9">
        <v>53916</v>
      </c>
      <c r="L123" s="2">
        <v>108785</v>
      </c>
      <c r="M123" s="2" t="s">
        <v>31</v>
      </c>
    </row>
    <row r="124" spans="1:13" ht="14.25" customHeight="1">
      <c r="A124" s="2" t="s">
        <v>249</v>
      </c>
      <c r="B124" s="2" t="s">
        <v>53</v>
      </c>
      <c r="C124" s="3" t="s">
        <v>220</v>
      </c>
      <c r="D124" s="2" t="s">
        <v>34</v>
      </c>
      <c r="E124" s="2" t="s">
        <v>35</v>
      </c>
      <c r="F124" s="2" t="s">
        <v>69</v>
      </c>
      <c r="G124" s="8">
        <v>17183</v>
      </c>
      <c r="H124" s="8">
        <v>1224</v>
      </c>
      <c r="I124" s="8">
        <v>943</v>
      </c>
      <c r="J124" s="8">
        <v>2010</v>
      </c>
      <c r="K124" s="9">
        <v>21481</v>
      </c>
      <c r="L124" s="2">
        <v>49110</v>
      </c>
      <c r="M124" s="2" t="s">
        <v>31</v>
      </c>
    </row>
    <row r="125" spans="1:13" ht="14.25" customHeight="1">
      <c r="A125" s="2" t="s">
        <v>250</v>
      </c>
      <c r="B125" s="2" t="s">
        <v>14</v>
      </c>
      <c r="C125" s="3" t="s">
        <v>251</v>
      </c>
      <c r="D125" s="2" t="s">
        <v>28</v>
      </c>
      <c r="E125" s="2" t="s">
        <v>77</v>
      </c>
      <c r="F125" s="2" t="s">
        <v>40</v>
      </c>
      <c r="G125" s="8">
        <v>8238</v>
      </c>
      <c r="H125" s="8">
        <v>766</v>
      </c>
      <c r="I125" s="8">
        <v>235</v>
      </c>
      <c r="J125" s="8">
        <v>1273</v>
      </c>
      <c r="K125" s="9">
        <v>4706</v>
      </c>
      <c r="L125" s="2">
        <v>119141</v>
      </c>
      <c r="M125" s="2" t="s">
        <v>37</v>
      </c>
    </row>
    <row r="126" spans="1:13" ht="14.25" customHeight="1">
      <c r="A126" s="2" t="s">
        <v>252</v>
      </c>
      <c r="B126" s="2" t="s">
        <v>26</v>
      </c>
      <c r="C126" s="3" t="s">
        <v>253</v>
      </c>
      <c r="D126" s="2" t="s">
        <v>43</v>
      </c>
      <c r="E126" s="2" t="s">
        <v>17</v>
      </c>
      <c r="F126" s="2" t="s">
        <v>18</v>
      </c>
      <c r="G126" s="8">
        <v>8090</v>
      </c>
      <c r="H126" s="8">
        <v>570</v>
      </c>
      <c r="I126" s="8">
        <v>399</v>
      </c>
      <c r="J126" s="8">
        <v>1862</v>
      </c>
      <c r="K126" s="9">
        <v>34088</v>
      </c>
      <c r="L126" s="2">
        <v>52115</v>
      </c>
      <c r="M126" s="2" t="s">
        <v>19</v>
      </c>
    </row>
    <row r="127" spans="1:13" ht="14.25" customHeight="1">
      <c r="A127" s="2" t="s">
        <v>254</v>
      </c>
      <c r="B127" s="2" t="s">
        <v>21</v>
      </c>
      <c r="C127" s="3" t="s">
        <v>151</v>
      </c>
      <c r="D127" s="2" t="s">
        <v>16</v>
      </c>
      <c r="E127" s="2" t="s">
        <v>48</v>
      </c>
      <c r="F127" s="2" t="s">
        <v>49</v>
      </c>
      <c r="G127" s="8">
        <v>13637</v>
      </c>
      <c r="H127" s="8">
        <v>1135</v>
      </c>
      <c r="I127" s="8">
        <v>540</v>
      </c>
      <c r="J127" s="8">
        <v>1288</v>
      </c>
      <c r="K127" s="9">
        <v>45183</v>
      </c>
      <c r="L127" s="2">
        <v>79062</v>
      </c>
      <c r="M127" s="2" t="s">
        <v>62</v>
      </c>
    </row>
    <row r="128" spans="1:13" ht="14.25" customHeight="1">
      <c r="A128" s="2" t="s">
        <v>255</v>
      </c>
      <c r="B128" s="2" t="s">
        <v>53</v>
      </c>
      <c r="C128" s="3" t="s">
        <v>189</v>
      </c>
      <c r="D128" s="2" t="s">
        <v>16</v>
      </c>
      <c r="E128" s="2" t="s">
        <v>35</v>
      </c>
      <c r="F128" s="2" t="s">
        <v>69</v>
      </c>
      <c r="G128" s="8">
        <v>24415</v>
      </c>
      <c r="H128" s="8">
        <v>860</v>
      </c>
      <c r="I128" s="8">
        <v>931</v>
      </c>
      <c r="J128" s="8">
        <v>320</v>
      </c>
      <c r="K128" s="9">
        <v>65049</v>
      </c>
      <c r="L128" s="2">
        <v>62911</v>
      </c>
      <c r="M128" s="2" t="s">
        <v>19</v>
      </c>
    </row>
    <row r="129" spans="1:13" ht="14.25" customHeight="1">
      <c r="A129" s="2" t="s">
        <v>256</v>
      </c>
      <c r="B129" s="2" t="s">
        <v>26</v>
      </c>
      <c r="C129" s="3" t="s">
        <v>257</v>
      </c>
      <c r="D129" s="2" t="s">
        <v>43</v>
      </c>
      <c r="E129" s="2" t="s">
        <v>77</v>
      </c>
      <c r="F129" s="2" t="s">
        <v>40</v>
      </c>
      <c r="G129" s="8">
        <v>14647</v>
      </c>
      <c r="H129" s="8">
        <v>1168</v>
      </c>
      <c r="I129" s="8">
        <v>484</v>
      </c>
      <c r="J129" s="8">
        <v>2650</v>
      </c>
      <c r="K129" s="9">
        <v>27217</v>
      </c>
      <c r="L129" s="2">
        <v>144061</v>
      </c>
      <c r="M129" s="2" t="s">
        <v>37</v>
      </c>
    </row>
    <row r="130" spans="1:13" ht="14.25" customHeight="1">
      <c r="A130" s="2" t="s">
        <v>258</v>
      </c>
      <c r="B130" s="2" t="s">
        <v>21</v>
      </c>
      <c r="C130" s="3" t="s">
        <v>59</v>
      </c>
      <c r="D130" s="2" t="s">
        <v>16</v>
      </c>
      <c r="E130" s="2" t="s">
        <v>35</v>
      </c>
      <c r="F130" s="2" t="s">
        <v>36</v>
      </c>
      <c r="G130" s="8">
        <v>11911</v>
      </c>
      <c r="H130" s="8">
        <v>1360</v>
      </c>
      <c r="I130" s="8">
        <v>778</v>
      </c>
      <c r="J130" s="8">
        <v>1168</v>
      </c>
      <c r="K130" s="9">
        <v>16483</v>
      </c>
      <c r="L130" s="2">
        <v>72556</v>
      </c>
      <c r="M130" s="2" t="s">
        <v>31</v>
      </c>
    </row>
    <row r="131" spans="1:13" ht="14.25" customHeight="1">
      <c r="A131" s="2" t="s">
        <v>259</v>
      </c>
      <c r="B131" s="2" t="s">
        <v>21</v>
      </c>
      <c r="C131" s="3" t="s">
        <v>260</v>
      </c>
      <c r="D131" s="2" t="s">
        <v>43</v>
      </c>
      <c r="E131" s="2" t="s">
        <v>22</v>
      </c>
      <c r="F131" s="2" t="s">
        <v>23</v>
      </c>
      <c r="G131" s="8">
        <v>10472</v>
      </c>
      <c r="H131" s="8">
        <v>401</v>
      </c>
      <c r="I131" s="8">
        <v>668</v>
      </c>
      <c r="J131" s="8">
        <v>383</v>
      </c>
      <c r="K131" s="9">
        <v>37571</v>
      </c>
      <c r="L131" s="2">
        <v>249203</v>
      </c>
      <c r="M131" s="2" t="s">
        <v>31</v>
      </c>
    </row>
    <row r="132" spans="1:13" ht="14.25" customHeight="1">
      <c r="A132" s="2" t="s">
        <v>261</v>
      </c>
      <c r="B132" s="2" t="s">
        <v>21</v>
      </c>
      <c r="C132" s="3" t="s">
        <v>137</v>
      </c>
      <c r="D132" s="2" t="s">
        <v>16</v>
      </c>
      <c r="E132" s="2" t="s">
        <v>55</v>
      </c>
      <c r="F132" s="2" t="s">
        <v>35</v>
      </c>
      <c r="G132" s="8">
        <v>20271</v>
      </c>
      <c r="H132" s="8">
        <v>512</v>
      </c>
      <c r="I132" s="8">
        <v>286</v>
      </c>
      <c r="J132" s="8">
        <v>1982</v>
      </c>
      <c r="K132" s="9">
        <v>43225</v>
      </c>
      <c r="L132" s="2">
        <v>168335</v>
      </c>
      <c r="M132" s="2" t="s">
        <v>37</v>
      </c>
    </row>
    <row r="133" spans="1:13" ht="14.25" customHeight="1">
      <c r="A133" s="2" t="s">
        <v>262</v>
      </c>
      <c r="B133" s="2" t="s">
        <v>26</v>
      </c>
      <c r="C133" s="3" t="s">
        <v>90</v>
      </c>
      <c r="D133" s="2" t="s">
        <v>34</v>
      </c>
      <c r="E133" s="2" t="s">
        <v>22</v>
      </c>
      <c r="F133" s="2" t="s">
        <v>23</v>
      </c>
      <c r="G133" s="8">
        <v>5266</v>
      </c>
      <c r="H133" s="8">
        <v>316</v>
      </c>
      <c r="I133" s="8">
        <v>837</v>
      </c>
      <c r="J133" s="8">
        <v>2276</v>
      </c>
      <c r="K133" s="9">
        <v>20967</v>
      </c>
      <c r="L133" s="2">
        <v>41969</v>
      </c>
      <c r="M133" s="2" t="s">
        <v>62</v>
      </c>
    </row>
    <row r="134" spans="1:13" ht="14.25" customHeight="1">
      <c r="A134" s="2" t="s">
        <v>263</v>
      </c>
      <c r="B134" s="2" t="s">
        <v>26</v>
      </c>
      <c r="C134" s="3" t="s">
        <v>264</v>
      </c>
      <c r="D134" s="2" t="s">
        <v>16</v>
      </c>
      <c r="E134" s="2" t="s">
        <v>17</v>
      </c>
      <c r="F134" s="2" t="s">
        <v>18</v>
      </c>
      <c r="G134" s="8">
        <v>2666</v>
      </c>
      <c r="H134" s="8">
        <v>1136</v>
      </c>
      <c r="I134" s="8">
        <v>989</v>
      </c>
      <c r="J134" s="8">
        <v>1710</v>
      </c>
      <c r="K134" s="9">
        <v>36467</v>
      </c>
      <c r="L134" s="2">
        <v>83753</v>
      </c>
      <c r="M134" s="2" t="s">
        <v>31</v>
      </c>
    </row>
    <row r="135" spans="1:13" ht="14.25" customHeight="1">
      <c r="A135" s="2" t="s">
        <v>265</v>
      </c>
      <c r="B135" s="2" t="s">
        <v>26</v>
      </c>
      <c r="C135" s="4">
        <v>45931</v>
      </c>
      <c r="D135" s="2" t="s">
        <v>43</v>
      </c>
      <c r="E135" s="2" t="s">
        <v>40</v>
      </c>
      <c r="F135" s="2"/>
      <c r="G135" s="8">
        <v>6188</v>
      </c>
      <c r="H135" s="8">
        <v>774</v>
      </c>
      <c r="I135" s="8">
        <v>647</v>
      </c>
      <c r="J135" s="8">
        <v>1830</v>
      </c>
      <c r="K135" s="9">
        <v>55436</v>
      </c>
      <c r="L135" s="2">
        <v>175542</v>
      </c>
      <c r="M135" s="2" t="s">
        <v>24</v>
      </c>
    </row>
    <row r="136" spans="1:13" ht="14.25" customHeight="1">
      <c r="A136" s="2" t="s">
        <v>266</v>
      </c>
      <c r="B136" s="2" t="s">
        <v>14</v>
      </c>
      <c r="C136" s="3" t="s">
        <v>267</v>
      </c>
      <c r="D136" s="2" t="s">
        <v>43</v>
      </c>
      <c r="E136" s="2" t="s">
        <v>55</v>
      </c>
      <c r="F136" s="2" t="s">
        <v>35</v>
      </c>
      <c r="G136" s="8">
        <v>19055</v>
      </c>
      <c r="H136" s="8">
        <v>443</v>
      </c>
      <c r="I136" s="8">
        <v>976</v>
      </c>
      <c r="J136" s="8">
        <v>869</v>
      </c>
      <c r="K136" s="9">
        <v>75437</v>
      </c>
      <c r="L136" s="2">
        <v>161863</v>
      </c>
      <c r="M136" s="2" t="s">
        <v>31</v>
      </c>
    </row>
    <row r="137" spans="1:13" ht="14.25" customHeight="1">
      <c r="A137" s="2" t="s">
        <v>268</v>
      </c>
      <c r="B137" s="2" t="s">
        <v>26</v>
      </c>
      <c r="C137" s="4">
        <v>45932</v>
      </c>
      <c r="D137" s="2" t="s">
        <v>43</v>
      </c>
      <c r="E137" s="2" t="s">
        <v>29</v>
      </c>
      <c r="F137" s="2" t="s">
        <v>30</v>
      </c>
      <c r="G137" s="8">
        <v>12161</v>
      </c>
      <c r="H137" s="8">
        <v>736</v>
      </c>
      <c r="I137" s="8">
        <v>876</v>
      </c>
      <c r="J137" s="8">
        <v>1233</v>
      </c>
      <c r="K137" s="9">
        <v>21337</v>
      </c>
      <c r="L137" s="2">
        <v>50225</v>
      </c>
      <c r="M137" s="2" t="s">
        <v>24</v>
      </c>
    </row>
    <row r="138" spans="1:13" ht="14.25" customHeight="1">
      <c r="A138" s="2" t="s">
        <v>269</v>
      </c>
      <c r="B138" s="2" t="s">
        <v>26</v>
      </c>
      <c r="C138" s="3" t="s">
        <v>98</v>
      </c>
      <c r="D138" s="2" t="s">
        <v>43</v>
      </c>
      <c r="E138" s="2" t="s">
        <v>35</v>
      </c>
      <c r="F138" s="2" t="s">
        <v>36</v>
      </c>
      <c r="G138" s="8">
        <v>13314</v>
      </c>
      <c r="H138" s="8">
        <v>274</v>
      </c>
      <c r="I138" s="8">
        <v>626</v>
      </c>
      <c r="J138" s="8">
        <v>2280</v>
      </c>
      <c r="K138" s="9">
        <v>14639</v>
      </c>
      <c r="L138" s="2">
        <v>163008</v>
      </c>
      <c r="M138" s="2" t="s">
        <v>37</v>
      </c>
    </row>
    <row r="139" spans="1:13" ht="14.25" customHeight="1">
      <c r="A139" s="2" t="s">
        <v>270</v>
      </c>
      <c r="B139" s="2" t="s">
        <v>26</v>
      </c>
      <c r="C139" s="3" t="s">
        <v>155</v>
      </c>
      <c r="D139" s="2" t="s">
        <v>43</v>
      </c>
      <c r="E139" s="2" t="s">
        <v>29</v>
      </c>
      <c r="F139" s="2" t="s">
        <v>30</v>
      </c>
      <c r="G139" s="8">
        <v>23508</v>
      </c>
      <c r="H139" s="8">
        <v>585</v>
      </c>
      <c r="I139" s="8">
        <v>743</v>
      </c>
      <c r="J139" s="8">
        <v>2155</v>
      </c>
      <c r="K139" s="9">
        <v>3704</v>
      </c>
      <c r="L139" s="2">
        <v>194268</v>
      </c>
      <c r="M139" s="2" t="s">
        <v>37</v>
      </c>
    </row>
    <row r="140" spans="1:13" ht="14.25" customHeight="1">
      <c r="A140" s="2" t="s">
        <v>271</v>
      </c>
      <c r="B140" s="2" t="s">
        <v>14</v>
      </c>
      <c r="C140" s="3" t="s">
        <v>272</v>
      </c>
      <c r="D140" s="2" t="s">
        <v>28</v>
      </c>
      <c r="E140" s="2" t="s">
        <v>35</v>
      </c>
      <c r="F140" s="2" t="s">
        <v>69</v>
      </c>
      <c r="G140" s="8">
        <v>23969</v>
      </c>
      <c r="H140" s="8">
        <v>1433</v>
      </c>
      <c r="I140" s="8">
        <v>372</v>
      </c>
      <c r="J140" s="8">
        <v>1092</v>
      </c>
      <c r="K140" s="9">
        <v>32147</v>
      </c>
      <c r="L140" s="2">
        <v>145823</v>
      </c>
      <c r="M140" s="2" t="s">
        <v>31</v>
      </c>
    </row>
    <row r="141" spans="1:13" ht="14.25" customHeight="1">
      <c r="A141" s="2" t="s">
        <v>273</v>
      </c>
      <c r="B141" s="2" t="s">
        <v>26</v>
      </c>
      <c r="C141" s="3" t="s">
        <v>274</v>
      </c>
      <c r="D141" s="2" t="s">
        <v>28</v>
      </c>
      <c r="E141" s="2" t="s">
        <v>44</v>
      </c>
      <c r="F141" s="2" t="s">
        <v>45</v>
      </c>
      <c r="G141" s="8">
        <v>14891</v>
      </c>
      <c r="H141" s="8">
        <v>674</v>
      </c>
      <c r="I141" s="8">
        <v>521</v>
      </c>
      <c r="J141" s="8">
        <v>1091</v>
      </c>
      <c r="K141" s="9">
        <v>18101</v>
      </c>
      <c r="L141" s="2">
        <v>53669</v>
      </c>
      <c r="M141" s="2" t="s">
        <v>19</v>
      </c>
    </row>
    <row r="142" spans="1:13" ht="14.25" customHeight="1">
      <c r="A142" s="2" t="s">
        <v>275</v>
      </c>
      <c r="B142" s="2" t="s">
        <v>21</v>
      </c>
      <c r="C142" s="4">
        <v>45933</v>
      </c>
      <c r="D142" s="2" t="s">
        <v>16</v>
      </c>
      <c r="E142" s="2" t="s">
        <v>55</v>
      </c>
      <c r="F142" s="2" t="s">
        <v>35</v>
      </c>
      <c r="G142" s="8">
        <v>6777</v>
      </c>
      <c r="H142" s="8">
        <v>617</v>
      </c>
      <c r="I142" s="8">
        <v>551</v>
      </c>
      <c r="J142" s="8">
        <v>2109</v>
      </c>
      <c r="K142" s="9">
        <v>18559</v>
      </c>
      <c r="L142" s="2">
        <v>208452</v>
      </c>
      <c r="M142" s="2" t="s">
        <v>24</v>
      </c>
    </row>
    <row r="143" spans="1:13" ht="14.25" customHeight="1">
      <c r="A143" s="2" t="s">
        <v>276</v>
      </c>
      <c r="B143" s="2" t="s">
        <v>26</v>
      </c>
      <c r="C143" s="3" t="s">
        <v>277</v>
      </c>
      <c r="D143" s="2" t="s">
        <v>43</v>
      </c>
      <c r="E143" s="2" t="s">
        <v>29</v>
      </c>
      <c r="F143" s="2" t="s">
        <v>30</v>
      </c>
      <c r="G143" s="8">
        <v>5900</v>
      </c>
      <c r="H143" s="8">
        <v>546</v>
      </c>
      <c r="I143" s="8">
        <v>592</v>
      </c>
      <c r="J143" s="8">
        <v>1594</v>
      </c>
      <c r="K143" s="9">
        <v>38627</v>
      </c>
      <c r="L143" s="2">
        <v>164398</v>
      </c>
      <c r="M143" s="2" t="s">
        <v>62</v>
      </c>
    </row>
    <row r="144" spans="1:13" ht="14.25" customHeight="1">
      <c r="A144" s="2" t="s">
        <v>278</v>
      </c>
      <c r="B144" s="2" t="s">
        <v>21</v>
      </c>
      <c r="C144" s="3" t="s">
        <v>248</v>
      </c>
      <c r="D144" s="2" t="s">
        <v>16</v>
      </c>
      <c r="E144" s="2" t="s">
        <v>29</v>
      </c>
      <c r="F144" s="2" t="s">
        <v>30</v>
      </c>
      <c r="G144" s="8">
        <v>15716</v>
      </c>
      <c r="H144" s="8">
        <v>839</v>
      </c>
      <c r="I144" s="8">
        <v>639</v>
      </c>
      <c r="J144" s="8">
        <v>2839</v>
      </c>
      <c r="K144" s="9">
        <v>349</v>
      </c>
      <c r="L144" s="2">
        <v>150677</v>
      </c>
      <c r="M144" s="2" t="s">
        <v>31</v>
      </c>
    </row>
    <row r="145" spans="1:13" ht="14.25" customHeight="1">
      <c r="A145" s="2" t="s">
        <v>279</v>
      </c>
      <c r="B145" s="2" t="s">
        <v>21</v>
      </c>
      <c r="C145" s="3" t="s">
        <v>168</v>
      </c>
      <c r="D145" s="2" t="s">
        <v>43</v>
      </c>
      <c r="E145" s="2" t="s">
        <v>77</v>
      </c>
      <c r="F145" s="2" t="s">
        <v>40</v>
      </c>
      <c r="G145" s="8">
        <v>8981</v>
      </c>
      <c r="H145" s="8">
        <v>1138</v>
      </c>
      <c r="I145" s="8">
        <v>764</v>
      </c>
      <c r="J145" s="8">
        <v>2555</v>
      </c>
      <c r="K145" s="9">
        <v>92810</v>
      </c>
      <c r="L145" s="2">
        <v>88320</v>
      </c>
      <c r="M145" s="2" t="s">
        <v>62</v>
      </c>
    </row>
    <row r="146" spans="1:13" ht="14.25" customHeight="1">
      <c r="A146" s="2" t="s">
        <v>280</v>
      </c>
      <c r="B146" s="2" t="s">
        <v>21</v>
      </c>
      <c r="C146" s="3" t="s">
        <v>33</v>
      </c>
      <c r="D146" s="2" t="s">
        <v>43</v>
      </c>
      <c r="E146" s="2" t="s">
        <v>22</v>
      </c>
      <c r="F146" s="2" t="s">
        <v>23</v>
      </c>
      <c r="G146" s="8">
        <v>8376</v>
      </c>
      <c r="H146" s="8">
        <v>1154</v>
      </c>
      <c r="I146" s="8">
        <v>422</v>
      </c>
      <c r="J146" s="8">
        <v>1907</v>
      </c>
      <c r="K146" s="9">
        <v>36874</v>
      </c>
      <c r="L146" s="2">
        <v>218486</v>
      </c>
      <c r="M146" s="2" t="s">
        <v>31</v>
      </c>
    </row>
    <row r="147" spans="1:13" ht="14.25" customHeight="1">
      <c r="A147" s="2" t="s">
        <v>281</v>
      </c>
      <c r="B147" s="2" t="s">
        <v>14</v>
      </c>
      <c r="C147" s="3" t="s">
        <v>282</v>
      </c>
      <c r="D147" s="2" t="s">
        <v>28</v>
      </c>
      <c r="E147" s="2" t="s">
        <v>77</v>
      </c>
      <c r="F147" s="2" t="s">
        <v>40</v>
      </c>
      <c r="G147" s="8">
        <v>18907</v>
      </c>
      <c r="H147" s="8">
        <v>1075</v>
      </c>
      <c r="I147" s="8">
        <v>675</v>
      </c>
      <c r="J147" s="8">
        <v>1383</v>
      </c>
      <c r="K147" s="9">
        <v>17875</v>
      </c>
      <c r="L147" s="2">
        <v>186649</v>
      </c>
      <c r="M147" s="2" t="s">
        <v>19</v>
      </c>
    </row>
    <row r="148" spans="1:13" ht="14.25" customHeight="1">
      <c r="A148" s="2" t="s">
        <v>283</v>
      </c>
      <c r="B148" s="2" t="s">
        <v>14</v>
      </c>
      <c r="C148" s="3" t="s">
        <v>137</v>
      </c>
      <c r="D148" s="2" t="s">
        <v>28</v>
      </c>
      <c r="E148" s="2" t="s">
        <v>55</v>
      </c>
      <c r="F148" s="2" t="s">
        <v>35</v>
      </c>
      <c r="G148" s="8">
        <v>20777</v>
      </c>
      <c r="H148" s="8">
        <v>962</v>
      </c>
      <c r="I148" s="8">
        <v>308</v>
      </c>
      <c r="J148" s="8">
        <v>2777</v>
      </c>
      <c r="K148" s="9">
        <v>25529</v>
      </c>
      <c r="L148" s="2">
        <v>165354</v>
      </c>
      <c r="M148" s="2" t="s">
        <v>19</v>
      </c>
    </row>
    <row r="149" spans="1:13" ht="14.25" customHeight="1">
      <c r="A149" s="2" t="s">
        <v>284</v>
      </c>
      <c r="B149" s="2" t="s">
        <v>14</v>
      </c>
      <c r="C149" s="3" t="s">
        <v>139</v>
      </c>
      <c r="D149" s="2" t="s">
        <v>34</v>
      </c>
      <c r="E149" s="2" t="s">
        <v>55</v>
      </c>
      <c r="F149" s="2" t="s">
        <v>35</v>
      </c>
      <c r="G149" s="8">
        <v>20977</v>
      </c>
      <c r="H149" s="8">
        <v>1402</v>
      </c>
      <c r="I149" s="8">
        <v>301</v>
      </c>
      <c r="J149" s="8">
        <v>1284</v>
      </c>
      <c r="K149" s="9">
        <v>24620</v>
      </c>
      <c r="L149" s="2">
        <v>128009</v>
      </c>
      <c r="M149" s="2" t="s">
        <v>19</v>
      </c>
    </row>
    <row r="150" spans="1:13" ht="14.25" customHeight="1">
      <c r="A150" s="2" t="s">
        <v>285</v>
      </c>
      <c r="B150" s="2" t="s">
        <v>26</v>
      </c>
      <c r="C150" s="3" t="s">
        <v>286</v>
      </c>
      <c r="D150" s="2" t="s">
        <v>28</v>
      </c>
      <c r="E150" s="2" t="s">
        <v>17</v>
      </c>
      <c r="F150" s="2" t="s">
        <v>18</v>
      </c>
      <c r="G150" s="8">
        <v>12160</v>
      </c>
      <c r="H150" s="8">
        <v>1405</v>
      </c>
      <c r="I150" s="8">
        <v>769</v>
      </c>
      <c r="J150" s="8">
        <v>1980</v>
      </c>
      <c r="K150" s="9">
        <v>33174</v>
      </c>
      <c r="L150" s="2">
        <v>226481</v>
      </c>
      <c r="M150" s="2" t="s">
        <v>19</v>
      </c>
    </row>
    <row r="151" spans="1:13" ht="14.25" customHeight="1">
      <c r="A151" s="2" t="s">
        <v>287</v>
      </c>
      <c r="B151" s="2" t="s">
        <v>21</v>
      </c>
      <c r="C151" s="3" t="s">
        <v>288</v>
      </c>
      <c r="D151" s="2" t="s">
        <v>34</v>
      </c>
      <c r="E151" s="2" t="s">
        <v>77</v>
      </c>
      <c r="F151" s="2" t="s">
        <v>40</v>
      </c>
      <c r="G151" s="8">
        <v>16124</v>
      </c>
      <c r="H151" s="8">
        <v>863</v>
      </c>
      <c r="I151" s="8">
        <v>337</v>
      </c>
      <c r="J151" s="8">
        <v>819</v>
      </c>
      <c r="K151" s="9">
        <v>85788</v>
      </c>
      <c r="L151" s="2">
        <v>68625</v>
      </c>
      <c r="M151" s="2" t="s">
        <v>37</v>
      </c>
    </row>
    <row r="152" spans="1:13" ht="14.25" customHeight="1">
      <c r="A152" s="2" t="s">
        <v>289</v>
      </c>
      <c r="B152" s="2" t="s">
        <v>14</v>
      </c>
      <c r="C152" s="3" t="s">
        <v>153</v>
      </c>
      <c r="D152" s="2" t="s">
        <v>34</v>
      </c>
      <c r="E152" s="2" t="s">
        <v>92</v>
      </c>
      <c r="F152" s="2"/>
      <c r="G152" s="8">
        <v>18282</v>
      </c>
      <c r="H152" s="8">
        <v>224</v>
      </c>
      <c r="I152" s="8">
        <v>962</v>
      </c>
      <c r="J152" s="8">
        <v>890</v>
      </c>
      <c r="K152" s="9">
        <v>35105</v>
      </c>
      <c r="L152" s="2">
        <v>64089</v>
      </c>
      <c r="M152" s="2" t="s">
        <v>37</v>
      </c>
    </row>
    <row r="153" spans="1:13" ht="14.25" customHeight="1">
      <c r="A153" s="2" t="s">
        <v>290</v>
      </c>
      <c r="B153" s="2" t="s">
        <v>14</v>
      </c>
      <c r="C153" s="4">
        <v>45934</v>
      </c>
      <c r="D153" s="2" t="s">
        <v>34</v>
      </c>
      <c r="E153" s="2" t="s">
        <v>176</v>
      </c>
      <c r="F153" s="2" t="s">
        <v>177</v>
      </c>
      <c r="G153" s="8">
        <v>12488</v>
      </c>
      <c r="H153" s="8">
        <v>1403</v>
      </c>
      <c r="I153" s="8">
        <v>247</v>
      </c>
      <c r="J153" s="8">
        <v>1350</v>
      </c>
      <c r="K153" s="9">
        <v>28370</v>
      </c>
      <c r="L153" s="2">
        <v>76487</v>
      </c>
      <c r="M153" s="2" t="s">
        <v>24</v>
      </c>
    </row>
    <row r="154" spans="1:13" ht="14.25" customHeight="1">
      <c r="A154" s="2" t="s">
        <v>291</v>
      </c>
      <c r="B154" s="2" t="s">
        <v>26</v>
      </c>
      <c r="C154" s="3" t="s">
        <v>292</v>
      </c>
      <c r="D154" s="2" t="s">
        <v>34</v>
      </c>
      <c r="E154" s="2" t="s">
        <v>22</v>
      </c>
      <c r="F154" s="2" t="s">
        <v>23</v>
      </c>
      <c r="G154" s="8">
        <v>24574</v>
      </c>
      <c r="H154" s="8">
        <v>909</v>
      </c>
      <c r="I154" s="8">
        <v>280</v>
      </c>
      <c r="J154" s="8">
        <v>2009</v>
      </c>
      <c r="K154" s="9">
        <v>6221</v>
      </c>
      <c r="L154" s="2">
        <v>236910</v>
      </c>
      <c r="M154" s="2" t="s">
        <v>62</v>
      </c>
    </row>
    <row r="155" spans="1:13" ht="14.25" customHeight="1">
      <c r="A155" s="2" t="s">
        <v>293</v>
      </c>
      <c r="B155" s="2" t="s">
        <v>14</v>
      </c>
      <c r="C155" s="3" t="s">
        <v>294</v>
      </c>
      <c r="D155" s="2" t="s">
        <v>34</v>
      </c>
      <c r="E155" s="2" t="s">
        <v>55</v>
      </c>
      <c r="F155" s="2" t="s">
        <v>35</v>
      </c>
      <c r="G155" s="8">
        <v>7240</v>
      </c>
      <c r="H155" s="8">
        <v>1384</v>
      </c>
      <c r="I155" s="8">
        <v>954</v>
      </c>
      <c r="J155" s="8">
        <v>2335</v>
      </c>
      <c r="K155" s="9">
        <v>6757</v>
      </c>
      <c r="L155" s="2">
        <v>150448</v>
      </c>
      <c r="M155" s="2" t="s">
        <v>31</v>
      </c>
    </row>
    <row r="156" spans="1:13" ht="14.25" customHeight="1">
      <c r="A156" s="2" t="s">
        <v>295</v>
      </c>
      <c r="B156" s="2" t="s">
        <v>26</v>
      </c>
      <c r="C156" s="3" t="s">
        <v>296</v>
      </c>
      <c r="D156" s="2" t="s">
        <v>16</v>
      </c>
      <c r="E156" s="2" t="s">
        <v>17</v>
      </c>
      <c r="F156" s="2" t="s">
        <v>18</v>
      </c>
      <c r="G156" s="8">
        <v>12453</v>
      </c>
      <c r="H156" s="8">
        <v>376</v>
      </c>
      <c r="I156" s="8">
        <v>320</v>
      </c>
      <c r="J156" s="8">
        <v>2546</v>
      </c>
      <c r="K156" s="9">
        <v>22617</v>
      </c>
      <c r="L156" s="2">
        <v>90138</v>
      </c>
      <c r="M156" s="2" t="s">
        <v>31</v>
      </c>
    </row>
    <row r="157" spans="1:13" ht="14.25" customHeight="1">
      <c r="A157" s="2" t="s">
        <v>297</v>
      </c>
      <c r="B157" s="2" t="s">
        <v>53</v>
      </c>
      <c r="C157" s="3" t="s">
        <v>298</v>
      </c>
      <c r="D157" s="2" t="s">
        <v>28</v>
      </c>
      <c r="E157" s="2" t="s">
        <v>44</v>
      </c>
      <c r="F157" s="2" t="s">
        <v>45</v>
      </c>
      <c r="G157" s="8">
        <v>12478</v>
      </c>
      <c r="H157" s="8">
        <v>484</v>
      </c>
      <c r="I157" s="8">
        <v>332</v>
      </c>
      <c r="J157" s="8">
        <v>2734</v>
      </c>
      <c r="K157" s="9">
        <v>43338</v>
      </c>
      <c r="L157" s="2">
        <v>213895</v>
      </c>
      <c r="M157" s="2" t="s">
        <v>37</v>
      </c>
    </row>
    <row r="158" spans="1:13" ht="14.25" customHeight="1">
      <c r="A158" s="2" t="s">
        <v>299</v>
      </c>
      <c r="B158" s="2" t="s">
        <v>14</v>
      </c>
      <c r="C158" s="3" t="s">
        <v>300</v>
      </c>
      <c r="D158" s="2" t="s">
        <v>34</v>
      </c>
      <c r="E158" s="2" t="s">
        <v>77</v>
      </c>
      <c r="F158" s="2" t="s">
        <v>40</v>
      </c>
      <c r="G158" s="8">
        <v>24877</v>
      </c>
      <c r="H158" s="8">
        <v>262</v>
      </c>
      <c r="I158" s="8">
        <v>513</v>
      </c>
      <c r="J158" s="8">
        <v>648</v>
      </c>
      <c r="K158" s="9">
        <v>47544</v>
      </c>
      <c r="L158" s="2">
        <v>208280</v>
      </c>
      <c r="M158" s="2" t="s">
        <v>31</v>
      </c>
    </row>
    <row r="159" spans="1:13" ht="14.25" customHeight="1">
      <c r="A159" s="2" t="s">
        <v>301</v>
      </c>
      <c r="B159" s="2" t="s">
        <v>53</v>
      </c>
      <c r="C159" s="3" t="s">
        <v>302</v>
      </c>
      <c r="D159" s="2" t="s">
        <v>43</v>
      </c>
      <c r="E159" s="2" t="s">
        <v>22</v>
      </c>
      <c r="F159" s="2" t="s">
        <v>23</v>
      </c>
      <c r="G159" s="8">
        <v>14394</v>
      </c>
      <c r="H159" s="8">
        <v>1202</v>
      </c>
      <c r="I159" s="8">
        <v>188</v>
      </c>
      <c r="J159" s="8">
        <v>1259</v>
      </c>
      <c r="K159" s="9">
        <v>21925</v>
      </c>
      <c r="L159" s="2">
        <v>94061</v>
      </c>
      <c r="M159" s="2" t="s">
        <v>37</v>
      </c>
    </row>
    <row r="160" spans="1:13" ht="14.25" customHeight="1">
      <c r="A160" s="2" t="s">
        <v>303</v>
      </c>
      <c r="B160" s="2" t="s">
        <v>26</v>
      </c>
      <c r="C160" s="4">
        <v>45935</v>
      </c>
      <c r="D160" s="2" t="s">
        <v>28</v>
      </c>
      <c r="E160" s="2" t="s">
        <v>44</v>
      </c>
      <c r="F160" s="2" t="s">
        <v>45</v>
      </c>
      <c r="G160" s="8">
        <v>21262</v>
      </c>
      <c r="H160" s="8">
        <v>861</v>
      </c>
      <c r="I160" s="8">
        <v>676</v>
      </c>
      <c r="J160" s="8">
        <v>2263</v>
      </c>
      <c r="K160" s="9">
        <v>12085</v>
      </c>
      <c r="L160" s="2">
        <v>201731</v>
      </c>
      <c r="M160" s="2" t="s">
        <v>24</v>
      </c>
    </row>
    <row r="161" spans="1:13" ht="14.25" customHeight="1">
      <c r="A161" s="2" t="s">
        <v>304</v>
      </c>
      <c r="B161" s="2" t="s">
        <v>21</v>
      </c>
      <c r="C161" s="3" t="s">
        <v>305</v>
      </c>
      <c r="D161" s="2" t="s">
        <v>28</v>
      </c>
      <c r="E161" s="2" t="s">
        <v>77</v>
      </c>
      <c r="F161" s="2" t="s">
        <v>40</v>
      </c>
      <c r="G161" s="8">
        <v>22527</v>
      </c>
      <c r="H161" s="8">
        <v>865</v>
      </c>
      <c r="I161" s="8">
        <v>646</v>
      </c>
      <c r="J161" s="8">
        <v>992</v>
      </c>
      <c r="K161" s="9">
        <v>18654</v>
      </c>
      <c r="L161" s="2">
        <v>141376</v>
      </c>
      <c r="M161" s="2" t="s">
        <v>62</v>
      </c>
    </row>
    <row r="162" spans="1:13" ht="14.25" customHeight="1">
      <c r="A162" s="2" t="s">
        <v>306</v>
      </c>
      <c r="B162" s="2" t="s">
        <v>14</v>
      </c>
      <c r="C162" s="4">
        <v>45936</v>
      </c>
      <c r="D162" s="2" t="s">
        <v>34</v>
      </c>
      <c r="E162" s="2" t="s">
        <v>29</v>
      </c>
      <c r="F162" s="2" t="s">
        <v>30</v>
      </c>
      <c r="G162" s="8">
        <v>22028</v>
      </c>
      <c r="H162" s="8">
        <v>355</v>
      </c>
      <c r="I162" s="8">
        <v>665</v>
      </c>
      <c r="J162" s="8">
        <v>1859</v>
      </c>
      <c r="K162" s="9">
        <v>50565</v>
      </c>
      <c r="L162" s="2">
        <v>202962</v>
      </c>
      <c r="M162" s="2" t="s">
        <v>24</v>
      </c>
    </row>
    <row r="163" spans="1:13" ht="14.25" customHeight="1">
      <c r="A163" s="2" t="s">
        <v>307</v>
      </c>
      <c r="B163" s="2" t="s">
        <v>26</v>
      </c>
      <c r="C163" s="3" t="s">
        <v>308</v>
      </c>
      <c r="D163" s="2" t="s">
        <v>16</v>
      </c>
      <c r="E163" s="2" t="s">
        <v>44</v>
      </c>
      <c r="F163" s="2" t="s">
        <v>45</v>
      </c>
      <c r="G163" s="8">
        <v>6432</v>
      </c>
      <c r="H163" s="8">
        <v>1272</v>
      </c>
      <c r="I163" s="8">
        <v>498</v>
      </c>
      <c r="J163" s="8">
        <v>677</v>
      </c>
      <c r="K163" s="9">
        <v>47305</v>
      </c>
      <c r="L163" s="2">
        <v>119134</v>
      </c>
      <c r="M163" s="2" t="s">
        <v>19</v>
      </c>
    </row>
    <row r="164" spans="1:13" ht="14.25" customHeight="1">
      <c r="A164" s="2" t="s">
        <v>309</v>
      </c>
      <c r="B164" s="2" t="s">
        <v>21</v>
      </c>
      <c r="C164" s="3" t="s">
        <v>310</v>
      </c>
      <c r="D164" s="2" t="s">
        <v>34</v>
      </c>
      <c r="E164" s="2" t="s">
        <v>17</v>
      </c>
      <c r="F164" s="2" t="s">
        <v>18</v>
      </c>
      <c r="G164" s="8">
        <v>15568</v>
      </c>
      <c r="H164" s="8">
        <v>1166</v>
      </c>
      <c r="I164" s="8">
        <v>546</v>
      </c>
      <c r="J164" s="8">
        <v>826</v>
      </c>
      <c r="K164" s="9">
        <v>21836</v>
      </c>
      <c r="L164" s="2">
        <v>87055</v>
      </c>
      <c r="M164" s="2" t="s">
        <v>19</v>
      </c>
    </row>
    <row r="165" spans="1:13" ht="14.25" customHeight="1">
      <c r="A165" s="2" t="s">
        <v>311</v>
      </c>
      <c r="B165" s="2" t="s">
        <v>21</v>
      </c>
      <c r="C165" s="3" t="s">
        <v>79</v>
      </c>
      <c r="D165" s="2" t="s">
        <v>16</v>
      </c>
      <c r="E165" s="2" t="s">
        <v>22</v>
      </c>
      <c r="F165" s="2" t="s">
        <v>23</v>
      </c>
      <c r="G165" s="8">
        <v>16178</v>
      </c>
      <c r="H165" s="8">
        <v>1048</v>
      </c>
      <c r="I165" s="8">
        <v>871</v>
      </c>
      <c r="J165" s="8">
        <v>2553</v>
      </c>
      <c r="K165" s="9">
        <v>39025</v>
      </c>
      <c r="L165" s="2">
        <v>59508</v>
      </c>
      <c r="M165" s="2" t="s">
        <v>19</v>
      </c>
    </row>
    <row r="166" spans="1:13" ht="14.25" customHeight="1">
      <c r="A166" s="2" t="s">
        <v>312</v>
      </c>
      <c r="B166" s="2" t="s">
        <v>53</v>
      </c>
      <c r="C166" s="4">
        <v>45937</v>
      </c>
      <c r="D166" s="2" t="s">
        <v>43</v>
      </c>
      <c r="E166" s="2" t="s">
        <v>48</v>
      </c>
      <c r="F166" s="2" t="s">
        <v>49</v>
      </c>
      <c r="G166" s="8">
        <v>19660</v>
      </c>
      <c r="H166" s="8">
        <v>1307</v>
      </c>
      <c r="I166" s="8">
        <v>310</v>
      </c>
      <c r="J166" s="8">
        <v>2802</v>
      </c>
      <c r="K166" s="9">
        <v>22171</v>
      </c>
      <c r="L166" s="2">
        <v>213359</v>
      </c>
      <c r="M166" s="2" t="s">
        <v>24</v>
      </c>
    </row>
    <row r="167" spans="1:13" ht="14.25" customHeight="1">
      <c r="A167" s="2" t="s">
        <v>313</v>
      </c>
      <c r="B167" s="2" t="s">
        <v>26</v>
      </c>
      <c r="C167" s="3" t="s">
        <v>314</v>
      </c>
      <c r="D167" s="2" t="s">
        <v>28</v>
      </c>
      <c r="E167" s="2" t="s">
        <v>35</v>
      </c>
      <c r="F167" s="2" t="s">
        <v>69</v>
      </c>
      <c r="G167" s="8">
        <v>24195</v>
      </c>
      <c r="H167" s="8">
        <v>888</v>
      </c>
      <c r="I167" s="8">
        <v>165</v>
      </c>
      <c r="J167" s="8">
        <v>1559</v>
      </c>
      <c r="K167" s="9">
        <v>11596</v>
      </c>
      <c r="L167" s="2">
        <v>249988</v>
      </c>
      <c r="M167" s="2" t="s">
        <v>31</v>
      </c>
    </row>
    <row r="168" spans="1:13" ht="14.25" customHeight="1">
      <c r="A168" s="2" t="s">
        <v>315</v>
      </c>
      <c r="B168" s="2" t="s">
        <v>21</v>
      </c>
      <c r="C168" s="3" t="s">
        <v>267</v>
      </c>
      <c r="D168" s="2" t="s">
        <v>43</v>
      </c>
      <c r="E168" s="2" t="s">
        <v>35</v>
      </c>
      <c r="F168" s="2" t="s">
        <v>69</v>
      </c>
      <c r="G168" s="8">
        <v>2302</v>
      </c>
      <c r="H168" s="8">
        <v>347</v>
      </c>
      <c r="I168" s="8">
        <v>642</v>
      </c>
      <c r="J168" s="8">
        <v>2175</v>
      </c>
      <c r="K168" s="9">
        <v>56378</v>
      </c>
      <c r="L168" s="2">
        <v>198056</v>
      </c>
      <c r="M168" s="2" t="s">
        <v>62</v>
      </c>
    </row>
    <row r="169" spans="1:13" ht="14.25" customHeight="1">
      <c r="A169" s="2" t="s">
        <v>316</v>
      </c>
      <c r="B169" s="2" t="s">
        <v>14</v>
      </c>
      <c r="C169" s="3" t="s">
        <v>317</v>
      </c>
      <c r="D169" s="2" t="s">
        <v>16</v>
      </c>
      <c r="E169" s="2" t="s">
        <v>22</v>
      </c>
      <c r="F169" s="2" t="s">
        <v>23</v>
      </c>
      <c r="G169" s="8">
        <v>19022</v>
      </c>
      <c r="H169" s="8">
        <v>541</v>
      </c>
      <c r="I169" s="8">
        <v>575</v>
      </c>
      <c r="J169" s="8">
        <v>2063</v>
      </c>
      <c r="K169" s="9">
        <v>42743</v>
      </c>
      <c r="L169" s="2">
        <v>150169</v>
      </c>
      <c r="M169" s="2" t="s">
        <v>19</v>
      </c>
    </row>
    <row r="170" spans="1:13" ht="14.25" customHeight="1">
      <c r="A170" s="2" t="s">
        <v>318</v>
      </c>
      <c r="B170" s="2" t="s">
        <v>14</v>
      </c>
      <c r="C170" s="3" t="s">
        <v>319</v>
      </c>
      <c r="D170" s="2" t="s">
        <v>16</v>
      </c>
      <c r="E170" s="2" t="s">
        <v>44</v>
      </c>
      <c r="F170" s="2" t="s">
        <v>45</v>
      </c>
      <c r="G170" s="8">
        <v>2055</v>
      </c>
      <c r="H170" s="8">
        <v>675</v>
      </c>
      <c r="I170" s="8">
        <v>257</v>
      </c>
      <c r="J170" s="8">
        <v>820</v>
      </c>
      <c r="K170" s="9">
        <v>33534</v>
      </c>
      <c r="L170" s="2">
        <v>48125</v>
      </c>
      <c r="M170" s="2" t="s">
        <v>19</v>
      </c>
    </row>
    <row r="171" spans="1:13" ht="14.25" customHeight="1">
      <c r="A171" s="2" t="s">
        <v>320</v>
      </c>
      <c r="B171" s="2" t="s">
        <v>53</v>
      </c>
      <c r="C171" s="3" t="s">
        <v>321</v>
      </c>
      <c r="D171" s="2" t="s">
        <v>43</v>
      </c>
      <c r="E171" s="2" t="s">
        <v>77</v>
      </c>
      <c r="F171" s="2" t="s">
        <v>40</v>
      </c>
      <c r="G171" s="8">
        <v>15013</v>
      </c>
      <c r="H171" s="8">
        <v>1286</v>
      </c>
      <c r="I171" s="8">
        <v>599</v>
      </c>
      <c r="J171" s="8">
        <v>2001</v>
      </c>
      <c r="K171" s="9">
        <v>67839</v>
      </c>
      <c r="L171" s="2">
        <v>76059</v>
      </c>
      <c r="M171" s="2" t="s">
        <v>19</v>
      </c>
    </row>
    <row r="172" spans="1:13" ht="14.25" customHeight="1">
      <c r="A172" s="2" t="s">
        <v>322</v>
      </c>
      <c r="B172" s="2" t="s">
        <v>21</v>
      </c>
      <c r="C172" s="3" t="s">
        <v>323</v>
      </c>
      <c r="D172" s="2" t="s">
        <v>16</v>
      </c>
      <c r="E172" s="2" t="s">
        <v>17</v>
      </c>
      <c r="F172" s="2" t="s">
        <v>18</v>
      </c>
      <c r="G172" s="8">
        <v>10717</v>
      </c>
      <c r="H172" s="8">
        <v>760</v>
      </c>
      <c r="I172" s="8">
        <v>460</v>
      </c>
      <c r="J172" s="8">
        <v>1316</v>
      </c>
      <c r="K172" s="9">
        <v>18164</v>
      </c>
      <c r="L172" s="2">
        <v>240641</v>
      </c>
      <c r="M172" s="2" t="s">
        <v>62</v>
      </c>
    </row>
    <row r="173" spans="1:13" ht="14.25" customHeight="1">
      <c r="A173" s="2" t="s">
        <v>324</v>
      </c>
      <c r="B173" s="2" t="s">
        <v>26</v>
      </c>
      <c r="C173" s="3" t="s">
        <v>325</v>
      </c>
      <c r="D173" s="2" t="s">
        <v>43</v>
      </c>
      <c r="E173" s="2" t="s">
        <v>176</v>
      </c>
      <c r="F173" s="2" t="s">
        <v>177</v>
      </c>
      <c r="G173" s="8">
        <v>10150</v>
      </c>
      <c r="H173" s="8">
        <v>526</v>
      </c>
      <c r="I173" s="8">
        <v>888</v>
      </c>
      <c r="J173" s="8">
        <v>1313</v>
      </c>
      <c r="K173" s="9">
        <v>51605</v>
      </c>
      <c r="L173" s="2">
        <v>143409</v>
      </c>
      <c r="M173" s="2" t="s">
        <v>19</v>
      </c>
    </row>
    <row r="174" spans="1:13" ht="14.25" customHeight="1">
      <c r="A174" s="2" t="s">
        <v>326</v>
      </c>
      <c r="B174" s="2" t="s">
        <v>14</v>
      </c>
      <c r="C174" s="3" t="s">
        <v>327</v>
      </c>
      <c r="D174" s="2" t="s">
        <v>28</v>
      </c>
      <c r="E174" s="2" t="s">
        <v>35</v>
      </c>
      <c r="F174" s="2" t="s">
        <v>69</v>
      </c>
      <c r="G174" s="8">
        <v>4125</v>
      </c>
      <c r="H174" s="8">
        <v>1364</v>
      </c>
      <c r="I174" s="8">
        <v>319</v>
      </c>
      <c r="J174" s="8">
        <v>2848</v>
      </c>
      <c r="K174" s="9">
        <v>15379</v>
      </c>
      <c r="L174" s="2">
        <v>188159</v>
      </c>
      <c r="M174" s="2" t="s">
        <v>62</v>
      </c>
    </row>
    <row r="175" spans="1:13" ht="14.25" customHeight="1">
      <c r="A175" s="2" t="s">
        <v>328</v>
      </c>
      <c r="B175" s="2" t="s">
        <v>21</v>
      </c>
      <c r="C175" s="3" t="s">
        <v>141</v>
      </c>
      <c r="D175" s="2" t="s">
        <v>43</v>
      </c>
      <c r="E175" s="2" t="s">
        <v>17</v>
      </c>
      <c r="F175" s="2" t="s">
        <v>18</v>
      </c>
      <c r="G175" s="8">
        <v>13479</v>
      </c>
      <c r="H175" s="8">
        <v>1189</v>
      </c>
      <c r="I175" s="8">
        <v>695</v>
      </c>
      <c r="J175" s="8">
        <v>416</v>
      </c>
      <c r="K175" s="9">
        <v>30229</v>
      </c>
      <c r="L175" s="2">
        <v>45704</v>
      </c>
      <c r="M175" s="2" t="s">
        <v>19</v>
      </c>
    </row>
    <row r="176" spans="1:13" ht="14.25" customHeight="1">
      <c r="A176" s="2" t="s">
        <v>329</v>
      </c>
      <c r="B176" s="2" t="s">
        <v>21</v>
      </c>
      <c r="C176" s="4">
        <v>45938</v>
      </c>
      <c r="D176" s="2" t="s">
        <v>28</v>
      </c>
      <c r="E176" s="2" t="s">
        <v>35</v>
      </c>
      <c r="F176" s="2" t="s">
        <v>69</v>
      </c>
      <c r="G176" s="8">
        <v>17745</v>
      </c>
      <c r="H176" s="8">
        <v>414</v>
      </c>
      <c r="I176" s="8">
        <v>563</v>
      </c>
      <c r="J176" s="8">
        <v>2733</v>
      </c>
      <c r="K176" s="9">
        <v>995</v>
      </c>
      <c r="L176" s="2">
        <v>231648</v>
      </c>
      <c r="M176" s="2" t="s">
        <v>24</v>
      </c>
    </row>
    <row r="177" spans="1:13" ht="14.25" customHeight="1">
      <c r="A177" s="2" t="s">
        <v>330</v>
      </c>
      <c r="B177" s="2" t="s">
        <v>53</v>
      </c>
      <c r="C177" s="4">
        <v>45939</v>
      </c>
      <c r="D177" s="2" t="s">
        <v>43</v>
      </c>
      <c r="E177" s="2" t="s">
        <v>29</v>
      </c>
      <c r="F177" s="2" t="s">
        <v>30</v>
      </c>
      <c r="G177" s="8">
        <v>18748</v>
      </c>
      <c r="H177" s="8">
        <v>634</v>
      </c>
      <c r="I177" s="8">
        <v>400</v>
      </c>
      <c r="J177" s="8">
        <v>1667</v>
      </c>
      <c r="K177" s="9">
        <v>75813</v>
      </c>
      <c r="L177" s="2">
        <v>244456</v>
      </c>
      <c r="M177" s="2" t="s">
        <v>24</v>
      </c>
    </row>
    <row r="178" spans="1:13" ht="14.25" customHeight="1">
      <c r="A178" s="2" t="s">
        <v>331</v>
      </c>
      <c r="B178" s="2" t="s">
        <v>14</v>
      </c>
      <c r="C178" s="3" t="s">
        <v>332</v>
      </c>
      <c r="D178" s="2" t="s">
        <v>16</v>
      </c>
      <c r="E178" s="2" t="s">
        <v>77</v>
      </c>
      <c r="F178" s="2" t="s">
        <v>40</v>
      </c>
      <c r="G178" s="8">
        <v>8809</v>
      </c>
      <c r="H178" s="8">
        <v>1151</v>
      </c>
      <c r="I178" s="8">
        <v>908</v>
      </c>
      <c r="J178" s="8">
        <v>883</v>
      </c>
      <c r="K178" s="9">
        <v>42921</v>
      </c>
      <c r="L178" s="2">
        <v>151279</v>
      </c>
      <c r="M178" s="2" t="s">
        <v>62</v>
      </c>
    </row>
    <row r="179" spans="1:13" ht="14.25" customHeight="1">
      <c r="A179" s="2" t="s">
        <v>333</v>
      </c>
      <c r="B179" s="2" t="s">
        <v>14</v>
      </c>
      <c r="C179" s="4">
        <v>45940</v>
      </c>
      <c r="D179" s="2" t="s">
        <v>43</v>
      </c>
      <c r="E179" s="2" t="s">
        <v>29</v>
      </c>
      <c r="F179" s="2" t="s">
        <v>30</v>
      </c>
      <c r="G179" s="8">
        <v>6621</v>
      </c>
      <c r="H179" s="8">
        <v>922</v>
      </c>
      <c r="I179" s="8">
        <v>930</v>
      </c>
      <c r="J179" s="8">
        <v>694</v>
      </c>
      <c r="K179" s="9">
        <v>839</v>
      </c>
      <c r="L179" s="2">
        <v>243532</v>
      </c>
      <c r="M179" s="2" t="s">
        <v>24</v>
      </c>
    </row>
    <row r="180" spans="1:13" ht="14.25" customHeight="1">
      <c r="A180" s="2" t="s">
        <v>334</v>
      </c>
      <c r="B180" s="2" t="s">
        <v>26</v>
      </c>
      <c r="C180" s="3" t="s">
        <v>274</v>
      </c>
      <c r="D180" s="2" t="s">
        <v>16</v>
      </c>
      <c r="E180" s="2" t="s">
        <v>35</v>
      </c>
      <c r="F180" s="2" t="s">
        <v>69</v>
      </c>
      <c r="G180" s="8">
        <v>17034</v>
      </c>
      <c r="H180" s="8">
        <v>231</v>
      </c>
      <c r="I180" s="8">
        <v>290</v>
      </c>
      <c r="J180" s="8">
        <v>1387</v>
      </c>
      <c r="K180" s="9">
        <v>63550</v>
      </c>
      <c r="L180" s="2">
        <v>198280</v>
      </c>
      <c r="M180" s="2" t="s">
        <v>62</v>
      </c>
    </row>
    <row r="181" spans="1:13" ht="14.25" customHeight="1">
      <c r="A181" s="2" t="s">
        <v>335</v>
      </c>
      <c r="B181" s="2" t="s">
        <v>14</v>
      </c>
      <c r="C181" s="4">
        <v>45941</v>
      </c>
      <c r="D181" s="2" t="s">
        <v>43</v>
      </c>
      <c r="E181" s="2" t="s">
        <v>48</v>
      </c>
      <c r="F181" s="2" t="s">
        <v>49</v>
      </c>
      <c r="G181" s="8">
        <v>15623</v>
      </c>
      <c r="H181" s="8">
        <v>869</v>
      </c>
      <c r="I181" s="8">
        <v>423</v>
      </c>
      <c r="J181" s="8">
        <v>371</v>
      </c>
      <c r="K181" s="9">
        <v>47579</v>
      </c>
      <c r="L181" s="2">
        <v>158516</v>
      </c>
      <c r="M181" s="2" t="s">
        <v>24</v>
      </c>
    </row>
    <row r="182" spans="1:13" ht="14.25" customHeight="1">
      <c r="A182" s="2" t="s">
        <v>336</v>
      </c>
      <c r="B182" s="2" t="s">
        <v>26</v>
      </c>
      <c r="C182" s="4">
        <v>45942</v>
      </c>
      <c r="D182" s="2" t="s">
        <v>43</v>
      </c>
      <c r="E182" s="2" t="s">
        <v>48</v>
      </c>
      <c r="F182" s="2" t="s">
        <v>49</v>
      </c>
      <c r="G182" s="8">
        <v>7126</v>
      </c>
      <c r="H182" s="8">
        <v>484</v>
      </c>
      <c r="I182" s="8">
        <v>565</v>
      </c>
      <c r="J182" s="8">
        <v>573</v>
      </c>
      <c r="K182" s="9">
        <v>7389</v>
      </c>
      <c r="L182" s="2">
        <v>237096</v>
      </c>
      <c r="M182" s="2" t="s">
        <v>24</v>
      </c>
    </row>
    <row r="183" spans="1:13" ht="14.25" customHeight="1">
      <c r="A183" s="2" t="s">
        <v>337</v>
      </c>
      <c r="B183" s="2" t="s">
        <v>14</v>
      </c>
      <c r="C183" s="3" t="s">
        <v>98</v>
      </c>
      <c r="D183" s="2" t="s">
        <v>34</v>
      </c>
      <c r="E183" s="2" t="s">
        <v>29</v>
      </c>
      <c r="F183" s="2" t="s">
        <v>30</v>
      </c>
      <c r="G183" s="8">
        <v>7122</v>
      </c>
      <c r="H183" s="8">
        <v>628</v>
      </c>
      <c r="I183" s="8">
        <v>757</v>
      </c>
      <c r="J183" s="8">
        <v>2313</v>
      </c>
      <c r="K183" s="9">
        <v>50924</v>
      </c>
      <c r="L183" s="2">
        <v>210954</v>
      </c>
      <c r="M183" s="2" t="s">
        <v>62</v>
      </c>
    </row>
    <row r="184" spans="1:13" ht="14.25" customHeight="1">
      <c r="A184" s="2" t="s">
        <v>338</v>
      </c>
      <c r="B184" s="2" t="s">
        <v>53</v>
      </c>
      <c r="C184" s="3" t="s">
        <v>339</v>
      </c>
      <c r="D184" s="2" t="s">
        <v>16</v>
      </c>
      <c r="E184" s="2" t="s">
        <v>48</v>
      </c>
      <c r="F184" s="2" t="s">
        <v>49</v>
      </c>
      <c r="G184" s="8">
        <v>20030</v>
      </c>
      <c r="H184" s="8">
        <v>485</v>
      </c>
      <c r="I184" s="8">
        <v>888</v>
      </c>
      <c r="J184" s="8">
        <v>1643</v>
      </c>
      <c r="K184" s="9">
        <v>4322</v>
      </c>
      <c r="L184" s="2">
        <v>196995</v>
      </c>
      <c r="M184" s="2" t="s">
        <v>31</v>
      </c>
    </row>
    <row r="185" spans="1:13" ht="14.25" customHeight="1">
      <c r="A185" s="2" t="s">
        <v>340</v>
      </c>
      <c r="B185" s="2" t="s">
        <v>14</v>
      </c>
      <c r="C185" s="4">
        <v>45943</v>
      </c>
      <c r="D185" s="2" t="s">
        <v>34</v>
      </c>
      <c r="E185" s="2" t="s">
        <v>35</v>
      </c>
      <c r="F185" s="2" t="s">
        <v>69</v>
      </c>
      <c r="G185" s="8">
        <v>19302</v>
      </c>
      <c r="H185" s="8">
        <v>1367</v>
      </c>
      <c r="I185" s="8">
        <v>188</v>
      </c>
      <c r="J185" s="8">
        <v>637</v>
      </c>
      <c r="K185" s="9">
        <v>31404</v>
      </c>
      <c r="L185" s="2">
        <v>154044</v>
      </c>
      <c r="M185" s="2" t="s">
        <v>24</v>
      </c>
    </row>
    <row r="186" spans="1:13" ht="14.25" customHeight="1">
      <c r="A186" s="2" t="s">
        <v>341</v>
      </c>
      <c r="B186" s="2" t="s">
        <v>26</v>
      </c>
      <c r="C186" s="3" t="s">
        <v>342</v>
      </c>
      <c r="D186" s="2" t="s">
        <v>16</v>
      </c>
      <c r="E186" s="2" t="s">
        <v>22</v>
      </c>
      <c r="F186" s="2" t="s">
        <v>23</v>
      </c>
      <c r="G186" s="8">
        <v>21181</v>
      </c>
      <c r="H186" s="8">
        <v>1242</v>
      </c>
      <c r="I186" s="8">
        <v>963</v>
      </c>
      <c r="J186" s="8">
        <v>1689</v>
      </c>
      <c r="K186" s="9">
        <v>49329</v>
      </c>
      <c r="L186" s="2">
        <v>69165</v>
      </c>
      <c r="M186" s="2" t="s">
        <v>19</v>
      </c>
    </row>
    <row r="187" spans="1:13" ht="14.25" customHeight="1">
      <c r="A187" s="2" t="s">
        <v>343</v>
      </c>
      <c r="B187" s="2" t="s">
        <v>26</v>
      </c>
      <c r="C187" s="3" t="s">
        <v>305</v>
      </c>
      <c r="D187" s="2" t="s">
        <v>34</v>
      </c>
      <c r="E187" s="2" t="s">
        <v>29</v>
      </c>
      <c r="F187" s="2" t="s">
        <v>30</v>
      </c>
      <c r="G187" s="8">
        <v>24890</v>
      </c>
      <c r="H187" s="8">
        <v>217</v>
      </c>
      <c r="I187" s="8">
        <v>178</v>
      </c>
      <c r="J187" s="8">
        <v>906</v>
      </c>
      <c r="K187" s="9">
        <v>54826</v>
      </c>
      <c r="L187" s="2">
        <v>107203</v>
      </c>
      <c r="M187" s="2" t="s">
        <v>31</v>
      </c>
    </row>
    <row r="188" spans="1:13" ht="14.25" customHeight="1">
      <c r="A188" s="2" t="s">
        <v>344</v>
      </c>
      <c r="B188" s="2" t="s">
        <v>53</v>
      </c>
      <c r="C188" s="3" t="s">
        <v>345</v>
      </c>
      <c r="D188" s="2" t="s">
        <v>28</v>
      </c>
      <c r="E188" s="2" t="s">
        <v>176</v>
      </c>
      <c r="F188" s="2" t="s">
        <v>177</v>
      </c>
      <c r="G188" s="8">
        <v>7870</v>
      </c>
      <c r="H188" s="8">
        <v>968</v>
      </c>
      <c r="I188" s="8">
        <v>626</v>
      </c>
      <c r="J188" s="8">
        <v>465</v>
      </c>
      <c r="K188" s="9">
        <v>27184</v>
      </c>
      <c r="L188" s="2">
        <v>44114</v>
      </c>
      <c r="M188" s="2" t="s">
        <v>62</v>
      </c>
    </row>
    <row r="189" spans="1:13" ht="14.25" customHeight="1">
      <c r="A189" s="2" t="s">
        <v>346</v>
      </c>
      <c r="B189" s="2" t="s">
        <v>14</v>
      </c>
      <c r="C189" s="3" t="s">
        <v>191</v>
      </c>
      <c r="D189" s="2" t="s">
        <v>43</v>
      </c>
      <c r="E189" s="2" t="s">
        <v>176</v>
      </c>
      <c r="F189" s="2" t="s">
        <v>177</v>
      </c>
      <c r="G189" s="8">
        <v>3531</v>
      </c>
      <c r="H189" s="8">
        <v>789</v>
      </c>
      <c r="I189" s="8">
        <v>467</v>
      </c>
      <c r="J189" s="8">
        <v>1867</v>
      </c>
      <c r="K189" s="9">
        <v>40816</v>
      </c>
      <c r="L189" s="2">
        <v>236037</v>
      </c>
      <c r="M189" s="2" t="s">
        <v>31</v>
      </c>
    </row>
    <row r="190" spans="1:13" ht="14.25" customHeight="1">
      <c r="A190" s="2" t="s">
        <v>347</v>
      </c>
      <c r="B190" s="2" t="s">
        <v>14</v>
      </c>
      <c r="C190" s="3" t="s">
        <v>348</v>
      </c>
      <c r="D190" s="2" t="s">
        <v>16</v>
      </c>
      <c r="E190" s="2" t="s">
        <v>40</v>
      </c>
      <c r="F190" s="2"/>
      <c r="G190" s="8">
        <v>10172</v>
      </c>
      <c r="H190" s="8">
        <v>1398</v>
      </c>
      <c r="I190" s="8">
        <v>394</v>
      </c>
      <c r="J190" s="8">
        <v>2358</v>
      </c>
      <c r="K190" s="9">
        <v>59610</v>
      </c>
      <c r="L190" s="2">
        <v>76321</v>
      </c>
      <c r="M190" s="2" t="s">
        <v>37</v>
      </c>
    </row>
    <row r="191" spans="1:13" ht="14.25" customHeight="1">
      <c r="A191" s="2" t="s">
        <v>349</v>
      </c>
      <c r="B191" s="2" t="s">
        <v>53</v>
      </c>
      <c r="C191" s="3" t="s">
        <v>350</v>
      </c>
      <c r="D191" s="2" t="s">
        <v>16</v>
      </c>
      <c r="E191" s="2" t="s">
        <v>44</v>
      </c>
      <c r="F191" s="2" t="s">
        <v>45</v>
      </c>
      <c r="G191" s="8">
        <v>21729</v>
      </c>
      <c r="H191" s="8">
        <v>1209</v>
      </c>
      <c r="I191" s="8">
        <v>897</v>
      </c>
      <c r="J191" s="8">
        <v>1624</v>
      </c>
      <c r="K191" s="9">
        <v>38771</v>
      </c>
      <c r="L191" s="2">
        <v>113297</v>
      </c>
      <c r="M191" s="2" t="s">
        <v>37</v>
      </c>
    </row>
    <row r="192" spans="1:13" ht="14.25" customHeight="1">
      <c r="A192" s="2" t="s">
        <v>351</v>
      </c>
      <c r="B192" s="2" t="s">
        <v>14</v>
      </c>
      <c r="C192" s="4">
        <v>45944</v>
      </c>
      <c r="D192" s="2" t="s">
        <v>43</v>
      </c>
      <c r="E192" s="2" t="s">
        <v>77</v>
      </c>
      <c r="F192" s="2" t="s">
        <v>40</v>
      </c>
      <c r="G192" s="8">
        <v>9673</v>
      </c>
      <c r="H192" s="8">
        <v>393</v>
      </c>
      <c r="I192" s="8">
        <v>846</v>
      </c>
      <c r="J192" s="8">
        <v>1028</v>
      </c>
      <c r="K192" s="9">
        <v>55556</v>
      </c>
      <c r="L192" s="2">
        <v>136652</v>
      </c>
      <c r="M192" s="2" t="s">
        <v>24</v>
      </c>
    </row>
    <row r="193" spans="1:13" ht="14.25" customHeight="1">
      <c r="A193" s="2" t="s">
        <v>352</v>
      </c>
      <c r="B193" s="2" t="s">
        <v>14</v>
      </c>
      <c r="C193" s="4">
        <v>45945</v>
      </c>
      <c r="D193" s="2" t="s">
        <v>16</v>
      </c>
      <c r="E193" s="2" t="s">
        <v>48</v>
      </c>
      <c r="F193" s="2" t="s">
        <v>49</v>
      </c>
      <c r="G193" s="8">
        <v>8882</v>
      </c>
      <c r="H193" s="8">
        <v>701</v>
      </c>
      <c r="I193" s="8">
        <v>421</v>
      </c>
      <c r="J193" s="8">
        <v>2343</v>
      </c>
      <c r="K193" s="9">
        <v>13588</v>
      </c>
      <c r="L193" s="2">
        <v>139304</v>
      </c>
      <c r="M193" s="2" t="s">
        <v>24</v>
      </c>
    </row>
    <row r="194" spans="1:13" ht="14.25" customHeight="1">
      <c r="A194" s="2" t="s">
        <v>353</v>
      </c>
      <c r="B194" s="2" t="s">
        <v>26</v>
      </c>
      <c r="C194" s="3" t="s">
        <v>354</v>
      </c>
      <c r="D194" s="2" t="s">
        <v>16</v>
      </c>
      <c r="E194" s="2" t="s">
        <v>48</v>
      </c>
      <c r="F194" s="2" t="s">
        <v>49</v>
      </c>
      <c r="G194" s="8">
        <v>3906</v>
      </c>
      <c r="H194" s="8">
        <v>1187</v>
      </c>
      <c r="I194" s="8">
        <v>589</v>
      </c>
      <c r="J194" s="8">
        <v>401</v>
      </c>
      <c r="K194" s="9">
        <v>52687</v>
      </c>
      <c r="L194" s="2">
        <v>196498</v>
      </c>
      <c r="M194" s="2" t="s">
        <v>19</v>
      </c>
    </row>
    <row r="195" spans="1:13" ht="14.25" customHeight="1">
      <c r="A195" s="2" t="s">
        <v>355</v>
      </c>
      <c r="B195" s="2" t="s">
        <v>14</v>
      </c>
      <c r="C195" s="3" t="s">
        <v>248</v>
      </c>
      <c r="D195" s="2" t="s">
        <v>34</v>
      </c>
      <c r="E195" s="2" t="s">
        <v>44</v>
      </c>
      <c r="F195" s="2" t="s">
        <v>45</v>
      </c>
      <c r="G195" s="8">
        <v>5086</v>
      </c>
      <c r="H195" s="8">
        <v>1336</v>
      </c>
      <c r="I195" s="8">
        <v>897</v>
      </c>
      <c r="J195" s="8">
        <v>1715</v>
      </c>
      <c r="K195" s="9">
        <v>60592</v>
      </c>
      <c r="L195" s="2">
        <v>57772</v>
      </c>
      <c r="M195" s="2" t="s">
        <v>31</v>
      </c>
    </row>
    <row r="196" spans="1:13" ht="14.25" customHeight="1">
      <c r="A196" s="2" t="s">
        <v>356</v>
      </c>
      <c r="B196" s="2" t="s">
        <v>14</v>
      </c>
      <c r="C196" s="3" t="s">
        <v>357</v>
      </c>
      <c r="D196" s="2" t="s">
        <v>16</v>
      </c>
      <c r="E196" s="2" t="s">
        <v>55</v>
      </c>
      <c r="F196" s="2" t="s">
        <v>35</v>
      </c>
      <c r="G196" s="8">
        <v>15503</v>
      </c>
      <c r="H196" s="8">
        <v>313</v>
      </c>
      <c r="I196" s="8">
        <v>388</v>
      </c>
      <c r="J196" s="8">
        <v>1078</v>
      </c>
      <c r="K196" s="9">
        <v>11500</v>
      </c>
      <c r="L196" s="2">
        <v>143754</v>
      </c>
      <c r="M196" s="2" t="s">
        <v>37</v>
      </c>
    </row>
    <row r="197" spans="1:13" ht="14.25" customHeight="1">
      <c r="A197" s="2" t="s">
        <v>358</v>
      </c>
      <c r="B197" s="2" t="s">
        <v>53</v>
      </c>
      <c r="C197" s="4">
        <v>45918</v>
      </c>
      <c r="D197" s="2" t="s">
        <v>28</v>
      </c>
      <c r="E197" s="2" t="s">
        <v>92</v>
      </c>
      <c r="F197" s="2"/>
      <c r="G197" s="8">
        <v>10152</v>
      </c>
      <c r="H197" s="8">
        <v>1445</v>
      </c>
      <c r="I197" s="8">
        <v>526</v>
      </c>
      <c r="J197" s="8">
        <v>513</v>
      </c>
      <c r="K197" s="9">
        <v>18959</v>
      </c>
      <c r="L197" s="2">
        <v>43712</v>
      </c>
      <c r="M197" s="2" t="s">
        <v>24</v>
      </c>
    </row>
    <row r="198" spans="1:13" ht="14.25" customHeight="1">
      <c r="A198" s="2" t="s">
        <v>359</v>
      </c>
      <c r="B198" s="2" t="s">
        <v>53</v>
      </c>
      <c r="C198" s="3" t="s">
        <v>298</v>
      </c>
      <c r="D198" s="2" t="s">
        <v>28</v>
      </c>
      <c r="E198" s="2" t="s">
        <v>29</v>
      </c>
      <c r="F198" s="2" t="s">
        <v>30</v>
      </c>
      <c r="G198" s="8">
        <v>7750</v>
      </c>
      <c r="H198" s="8">
        <v>1146</v>
      </c>
      <c r="I198" s="8">
        <v>415</v>
      </c>
      <c r="J198" s="8">
        <v>1411</v>
      </c>
      <c r="K198" s="9">
        <v>85339</v>
      </c>
      <c r="L198" s="2">
        <v>172439</v>
      </c>
      <c r="M198" s="2" t="s">
        <v>31</v>
      </c>
    </row>
    <row r="199" spans="1:13" ht="14.25" customHeight="1">
      <c r="A199" s="2" t="s">
        <v>360</v>
      </c>
      <c r="B199" s="2" t="s">
        <v>21</v>
      </c>
      <c r="C199" s="4">
        <v>45919</v>
      </c>
      <c r="D199" s="2" t="s">
        <v>43</v>
      </c>
      <c r="E199" s="2" t="s">
        <v>35</v>
      </c>
      <c r="F199" s="2" t="s">
        <v>36</v>
      </c>
      <c r="G199" s="8">
        <v>14772</v>
      </c>
      <c r="H199" s="8">
        <v>1030</v>
      </c>
      <c r="I199" s="8">
        <v>508</v>
      </c>
      <c r="J199" s="8">
        <v>1876</v>
      </c>
      <c r="K199" s="9">
        <v>8882</v>
      </c>
      <c r="L199" s="2">
        <v>155142</v>
      </c>
      <c r="M199" s="2" t="s">
        <v>24</v>
      </c>
    </row>
    <row r="200" spans="1:13" ht="14.25" customHeight="1">
      <c r="A200" s="2" t="s">
        <v>361</v>
      </c>
      <c r="B200" s="2" t="s">
        <v>26</v>
      </c>
      <c r="C200" s="4">
        <v>45920</v>
      </c>
      <c r="D200" s="2" t="s">
        <v>16</v>
      </c>
      <c r="E200" s="2" t="s">
        <v>48</v>
      </c>
      <c r="F200" s="2" t="s">
        <v>49</v>
      </c>
      <c r="G200" s="8">
        <v>12267</v>
      </c>
      <c r="H200" s="8">
        <v>1487</v>
      </c>
      <c r="I200" s="8">
        <v>489</v>
      </c>
      <c r="J200" s="8">
        <v>2748</v>
      </c>
      <c r="K200" s="9">
        <v>34685</v>
      </c>
      <c r="L200" s="2">
        <v>131736</v>
      </c>
      <c r="M200" s="2" t="s">
        <v>24</v>
      </c>
    </row>
    <row r="201" spans="1:13" ht="14.25" customHeight="1">
      <c r="A201" s="2" t="s">
        <v>362</v>
      </c>
      <c r="B201" s="2" t="s">
        <v>14</v>
      </c>
      <c r="C201" s="3" t="s">
        <v>363</v>
      </c>
      <c r="D201" s="2" t="s">
        <v>43</v>
      </c>
      <c r="E201" s="2" t="s">
        <v>77</v>
      </c>
      <c r="F201" s="2" t="s">
        <v>40</v>
      </c>
      <c r="G201" s="8">
        <v>3062</v>
      </c>
      <c r="H201" s="8">
        <v>1124</v>
      </c>
      <c r="I201" s="8">
        <v>538</v>
      </c>
      <c r="J201" s="8">
        <v>2935</v>
      </c>
      <c r="K201" s="9">
        <v>69749</v>
      </c>
      <c r="L201" s="2">
        <v>91924</v>
      </c>
      <c r="M201" s="2" t="s">
        <v>37</v>
      </c>
    </row>
    <row r="202" spans="1:13" ht="14.25" customHeight="1">
      <c r="A202" s="2" t="s">
        <v>364</v>
      </c>
      <c r="B202" s="2" t="s">
        <v>14</v>
      </c>
      <c r="C202" s="3" t="s">
        <v>365</v>
      </c>
      <c r="D202" s="2" t="s">
        <v>28</v>
      </c>
      <c r="E202" s="2" t="s">
        <v>40</v>
      </c>
      <c r="F202" s="2"/>
      <c r="G202" s="8">
        <v>20360</v>
      </c>
      <c r="H202" s="8">
        <v>254</v>
      </c>
      <c r="I202" s="8">
        <v>726</v>
      </c>
      <c r="J202" s="8">
        <v>1995</v>
      </c>
      <c r="K202" s="9">
        <v>14280</v>
      </c>
      <c r="L202" s="2">
        <v>43726</v>
      </c>
      <c r="M202" s="2" t="s">
        <v>37</v>
      </c>
    </row>
    <row r="203" spans="1:13" ht="14.25" customHeight="1">
      <c r="A203" s="2" t="s">
        <v>366</v>
      </c>
      <c r="B203" s="2" t="s">
        <v>21</v>
      </c>
      <c r="C203" s="4">
        <v>45921</v>
      </c>
      <c r="D203" s="2" t="s">
        <v>16</v>
      </c>
      <c r="E203" s="2" t="s">
        <v>176</v>
      </c>
      <c r="F203" s="2" t="s">
        <v>177</v>
      </c>
      <c r="G203" s="8">
        <v>19680</v>
      </c>
      <c r="H203" s="8">
        <v>999</v>
      </c>
      <c r="I203" s="8">
        <v>838</v>
      </c>
      <c r="J203" s="8">
        <v>891</v>
      </c>
      <c r="K203" s="9">
        <v>29576</v>
      </c>
      <c r="L203" s="2">
        <v>129152</v>
      </c>
      <c r="M203" s="2" t="s">
        <v>24</v>
      </c>
    </row>
    <row r="204" spans="1:13" ht="14.25" customHeight="1">
      <c r="A204" s="2" t="s">
        <v>367</v>
      </c>
      <c r="B204" s="2" t="s">
        <v>14</v>
      </c>
      <c r="C204" s="3" t="s">
        <v>368</v>
      </c>
      <c r="D204" s="2" t="s">
        <v>16</v>
      </c>
      <c r="E204" s="2" t="s">
        <v>48</v>
      </c>
      <c r="F204" s="2" t="s">
        <v>49</v>
      </c>
      <c r="G204" s="8">
        <v>8229</v>
      </c>
      <c r="H204" s="8">
        <v>977</v>
      </c>
      <c r="I204" s="8">
        <v>152</v>
      </c>
      <c r="J204" s="8">
        <v>1633</v>
      </c>
      <c r="K204" s="9">
        <v>71447</v>
      </c>
      <c r="L204" s="2">
        <v>67723</v>
      </c>
      <c r="M204" s="2" t="s">
        <v>62</v>
      </c>
    </row>
    <row r="205" spans="1:13" ht="14.25" customHeight="1">
      <c r="A205" s="2" t="s">
        <v>369</v>
      </c>
      <c r="B205" s="2" t="s">
        <v>26</v>
      </c>
      <c r="C205" s="4">
        <v>45922</v>
      </c>
      <c r="D205" s="2" t="s">
        <v>43</v>
      </c>
      <c r="E205" s="2" t="s">
        <v>40</v>
      </c>
      <c r="F205" s="2"/>
      <c r="G205" s="8">
        <v>18509</v>
      </c>
      <c r="H205" s="8">
        <v>361</v>
      </c>
      <c r="I205" s="8">
        <v>578</v>
      </c>
      <c r="J205" s="8">
        <v>1409</v>
      </c>
      <c r="K205" s="9">
        <v>10569</v>
      </c>
      <c r="L205" s="2">
        <v>166969</v>
      </c>
      <c r="M205" s="2" t="s">
        <v>24</v>
      </c>
    </row>
    <row r="206" spans="1:13" ht="14.25" customHeight="1">
      <c r="A206" s="2" t="s">
        <v>370</v>
      </c>
      <c r="B206" s="2" t="s">
        <v>21</v>
      </c>
      <c r="C206" s="4">
        <v>45923</v>
      </c>
      <c r="D206" s="2" t="s">
        <v>28</v>
      </c>
      <c r="E206" s="2" t="s">
        <v>35</v>
      </c>
      <c r="F206" s="2" t="s">
        <v>69</v>
      </c>
      <c r="G206" s="8">
        <v>17147</v>
      </c>
      <c r="H206" s="8">
        <v>286</v>
      </c>
      <c r="I206" s="8">
        <v>291</v>
      </c>
      <c r="J206" s="8">
        <v>2439</v>
      </c>
      <c r="K206" s="9">
        <v>45631</v>
      </c>
      <c r="L206" s="2">
        <v>140494</v>
      </c>
      <c r="M206" s="2" t="s">
        <v>24</v>
      </c>
    </row>
    <row r="207" spans="1:13" ht="14.25" customHeight="1">
      <c r="A207" s="2" t="s">
        <v>371</v>
      </c>
      <c r="B207" s="2" t="s">
        <v>26</v>
      </c>
      <c r="C207" s="3" t="s">
        <v>42</v>
      </c>
      <c r="D207" s="2" t="s">
        <v>16</v>
      </c>
      <c r="E207" s="2" t="s">
        <v>35</v>
      </c>
      <c r="F207" s="2" t="s">
        <v>69</v>
      </c>
      <c r="G207" s="8">
        <v>6632</v>
      </c>
      <c r="H207" s="8">
        <v>254</v>
      </c>
      <c r="I207" s="8">
        <v>525</v>
      </c>
      <c r="J207" s="8">
        <v>1013</v>
      </c>
      <c r="K207" s="9">
        <v>13838</v>
      </c>
      <c r="L207" s="2">
        <v>180180</v>
      </c>
      <c r="M207" s="2" t="s">
        <v>19</v>
      </c>
    </row>
    <row r="208" spans="1:13" ht="14.25" customHeight="1">
      <c r="A208" s="2" t="s">
        <v>372</v>
      </c>
      <c r="B208" s="2" t="s">
        <v>21</v>
      </c>
      <c r="C208" s="3" t="s">
        <v>373</v>
      </c>
      <c r="D208" s="2" t="s">
        <v>43</v>
      </c>
      <c r="E208" s="2" t="s">
        <v>92</v>
      </c>
      <c r="F208" s="2"/>
      <c r="G208" s="8">
        <v>8288</v>
      </c>
      <c r="H208" s="8">
        <v>1401</v>
      </c>
      <c r="I208" s="8">
        <v>819</v>
      </c>
      <c r="J208" s="8">
        <v>1235</v>
      </c>
      <c r="K208" s="9">
        <v>33446</v>
      </c>
      <c r="L208" s="2">
        <v>248786</v>
      </c>
      <c r="M208" s="2" t="s">
        <v>19</v>
      </c>
    </row>
    <row r="209" spans="1:13" ht="14.25" customHeight="1">
      <c r="A209" s="2" t="s">
        <v>374</v>
      </c>
      <c r="B209" s="2" t="s">
        <v>21</v>
      </c>
      <c r="C209" s="3" t="s">
        <v>42</v>
      </c>
      <c r="D209" s="2" t="s">
        <v>28</v>
      </c>
      <c r="E209" s="2" t="s">
        <v>22</v>
      </c>
      <c r="F209" s="2" t="s">
        <v>23</v>
      </c>
      <c r="G209" s="8">
        <v>5596</v>
      </c>
      <c r="H209" s="8">
        <v>1231</v>
      </c>
      <c r="I209" s="8">
        <v>473</v>
      </c>
      <c r="J209" s="8">
        <v>2251</v>
      </c>
      <c r="K209" s="9">
        <v>43705</v>
      </c>
      <c r="L209" s="2">
        <v>75643</v>
      </c>
      <c r="M209" s="2" t="s">
        <v>19</v>
      </c>
    </row>
    <row r="210" spans="1:13" ht="14.25" customHeight="1">
      <c r="A210" s="2" t="s">
        <v>375</v>
      </c>
      <c r="B210" s="2" t="s">
        <v>53</v>
      </c>
      <c r="C210" s="3" t="s">
        <v>376</v>
      </c>
      <c r="D210" s="2" t="s">
        <v>43</v>
      </c>
      <c r="E210" s="2" t="s">
        <v>35</v>
      </c>
      <c r="F210" s="2" t="s">
        <v>36</v>
      </c>
      <c r="G210" s="8">
        <v>13475</v>
      </c>
      <c r="H210" s="8">
        <v>1032</v>
      </c>
      <c r="I210" s="8">
        <v>295</v>
      </c>
      <c r="J210" s="8">
        <v>541</v>
      </c>
      <c r="K210" s="9">
        <v>43666</v>
      </c>
      <c r="L210" s="2">
        <v>202396</v>
      </c>
      <c r="M210" s="2" t="s">
        <v>62</v>
      </c>
    </row>
    <row r="211" spans="1:13" ht="14.25" customHeight="1">
      <c r="A211" s="2" t="s">
        <v>377</v>
      </c>
      <c r="B211" s="2" t="s">
        <v>26</v>
      </c>
      <c r="C211" s="3" t="s">
        <v>378</v>
      </c>
      <c r="D211" s="2" t="s">
        <v>34</v>
      </c>
      <c r="E211" s="2" t="s">
        <v>55</v>
      </c>
      <c r="F211" s="2" t="s">
        <v>35</v>
      </c>
      <c r="G211" s="8">
        <v>8168</v>
      </c>
      <c r="H211" s="8">
        <v>512</v>
      </c>
      <c r="I211" s="8">
        <v>442</v>
      </c>
      <c r="J211" s="8">
        <v>2343</v>
      </c>
      <c r="K211" s="9">
        <v>2753</v>
      </c>
      <c r="L211" s="2">
        <v>143896</v>
      </c>
      <c r="M211" s="2" t="s">
        <v>62</v>
      </c>
    </row>
    <row r="212" spans="1:13" ht="14.25" customHeight="1">
      <c r="A212" s="2" t="s">
        <v>379</v>
      </c>
      <c r="B212" s="2" t="s">
        <v>14</v>
      </c>
      <c r="C212" s="4">
        <v>45924</v>
      </c>
      <c r="D212" s="2" t="s">
        <v>16</v>
      </c>
      <c r="E212" s="2" t="s">
        <v>92</v>
      </c>
      <c r="F212" s="2"/>
      <c r="G212" s="8">
        <v>11795</v>
      </c>
      <c r="H212" s="8">
        <v>958</v>
      </c>
      <c r="I212" s="8">
        <v>814</v>
      </c>
      <c r="J212" s="8">
        <v>301</v>
      </c>
      <c r="K212" s="9">
        <v>12564</v>
      </c>
      <c r="L212" s="2">
        <v>179999</v>
      </c>
      <c r="M212" s="2" t="s">
        <v>24</v>
      </c>
    </row>
    <row r="213" spans="1:13" ht="14.25" customHeight="1">
      <c r="A213" s="2" t="s">
        <v>380</v>
      </c>
      <c r="B213" s="2" t="s">
        <v>14</v>
      </c>
      <c r="C213" s="3" t="s">
        <v>165</v>
      </c>
      <c r="D213" s="2" t="s">
        <v>34</v>
      </c>
      <c r="E213" s="2" t="s">
        <v>17</v>
      </c>
      <c r="F213" s="2" t="s">
        <v>18</v>
      </c>
      <c r="G213" s="8">
        <v>9561</v>
      </c>
      <c r="H213" s="8">
        <v>642</v>
      </c>
      <c r="I213" s="8">
        <v>581</v>
      </c>
      <c r="J213" s="8">
        <v>2572</v>
      </c>
      <c r="K213" s="9">
        <v>38552</v>
      </c>
      <c r="L213" s="2">
        <v>133680</v>
      </c>
      <c r="M213" s="2" t="s">
        <v>19</v>
      </c>
    </row>
    <row r="214" spans="1:13" ht="14.25" customHeight="1">
      <c r="A214" s="2" t="s">
        <v>381</v>
      </c>
      <c r="B214" s="2" t="s">
        <v>26</v>
      </c>
      <c r="C214" s="3" t="s">
        <v>382</v>
      </c>
      <c r="D214" s="2" t="s">
        <v>28</v>
      </c>
      <c r="E214" s="2" t="s">
        <v>55</v>
      </c>
      <c r="F214" s="2" t="s">
        <v>35</v>
      </c>
      <c r="G214" s="8">
        <v>10258</v>
      </c>
      <c r="H214" s="8">
        <v>527</v>
      </c>
      <c r="I214" s="8">
        <v>854</v>
      </c>
      <c r="J214" s="8">
        <v>2068</v>
      </c>
      <c r="K214" s="9">
        <v>45632</v>
      </c>
      <c r="L214" s="2">
        <v>136546</v>
      </c>
      <c r="M214" s="2" t="s">
        <v>62</v>
      </c>
    </row>
    <row r="215" spans="1:13" ht="14.25" customHeight="1">
      <c r="A215" s="2" t="s">
        <v>383</v>
      </c>
      <c r="B215" s="2" t="s">
        <v>14</v>
      </c>
      <c r="C215" s="3" t="s">
        <v>15</v>
      </c>
      <c r="D215" s="2" t="s">
        <v>34</v>
      </c>
      <c r="E215" s="2" t="s">
        <v>29</v>
      </c>
      <c r="F215" s="2" t="s">
        <v>30</v>
      </c>
      <c r="G215" s="8">
        <v>18616</v>
      </c>
      <c r="H215" s="8">
        <v>1277</v>
      </c>
      <c r="I215" s="8">
        <v>734</v>
      </c>
      <c r="J215" s="8">
        <v>2249</v>
      </c>
      <c r="K215" s="9">
        <v>3399</v>
      </c>
      <c r="L215" s="2">
        <v>193515</v>
      </c>
      <c r="M215" s="2" t="s">
        <v>37</v>
      </c>
    </row>
    <row r="216" spans="1:13" ht="14.25" customHeight="1">
      <c r="A216" s="2" t="s">
        <v>384</v>
      </c>
      <c r="B216" s="2" t="s">
        <v>14</v>
      </c>
      <c r="C216" s="4">
        <v>45925</v>
      </c>
      <c r="D216" s="2" t="s">
        <v>34</v>
      </c>
      <c r="E216" s="2" t="s">
        <v>77</v>
      </c>
      <c r="F216" s="2" t="s">
        <v>40</v>
      </c>
      <c r="G216" s="8">
        <v>8371</v>
      </c>
      <c r="H216" s="8">
        <v>960</v>
      </c>
      <c r="I216" s="8">
        <v>548</v>
      </c>
      <c r="J216" s="8">
        <v>2936</v>
      </c>
      <c r="K216" s="9">
        <v>82543</v>
      </c>
      <c r="L216" s="2">
        <v>119973</v>
      </c>
      <c r="M216" s="2" t="s">
        <v>24</v>
      </c>
    </row>
    <row r="217" spans="1:13" ht="14.25" customHeight="1">
      <c r="A217" s="2" t="s">
        <v>385</v>
      </c>
      <c r="B217" s="2" t="s">
        <v>26</v>
      </c>
      <c r="C217" s="3" t="s">
        <v>229</v>
      </c>
      <c r="D217" s="2" t="s">
        <v>28</v>
      </c>
      <c r="E217" s="2" t="s">
        <v>17</v>
      </c>
      <c r="F217" s="2" t="s">
        <v>18</v>
      </c>
      <c r="G217" s="8">
        <v>22590</v>
      </c>
      <c r="H217" s="8">
        <v>1462</v>
      </c>
      <c r="I217" s="8">
        <v>966</v>
      </c>
      <c r="J217" s="8">
        <v>2463</v>
      </c>
      <c r="K217" s="9">
        <v>29689</v>
      </c>
      <c r="L217" s="2">
        <v>103449</v>
      </c>
      <c r="M217" s="2" t="s">
        <v>31</v>
      </c>
    </row>
    <row r="218" spans="1:13" ht="14.25" customHeight="1">
      <c r="A218" s="2" t="s">
        <v>386</v>
      </c>
      <c r="B218" s="2" t="s">
        <v>21</v>
      </c>
      <c r="C218" s="4">
        <v>45926</v>
      </c>
      <c r="D218" s="2" t="s">
        <v>43</v>
      </c>
      <c r="E218" s="2" t="s">
        <v>17</v>
      </c>
      <c r="F218" s="2" t="s">
        <v>18</v>
      </c>
      <c r="G218" s="8">
        <v>16369</v>
      </c>
      <c r="H218" s="8">
        <v>1452</v>
      </c>
      <c r="I218" s="8">
        <v>493</v>
      </c>
      <c r="J218" s="8">
        <v>1217</v>
      </c>
      <c r="K218" s="9">
        <v>91440</v>
      </c>
      <c r="L218" s="2">
        <v>149834</v>
      </c>
      <c r="M218" s="2" t="s">
        <v>24</v>
      </c>
    </row>
    <row r="219" spans="1:13" ht="14.25" customHeight="1">
      <c r="A219" s="2" t="s">
        <v>387</v>
      </c>
      <c r="B219" s="2" t="s">
        <v>26</v>
      </c>
      <c r="C219" s="3" t="s">
        <v>388</v>
      </c>
      <c r="D219" s="2" t="s">
        <v>34</v>
      </c>
      <c r="E219" s="2" t="s">
        <v>92</v>
      </c>
      <c r="F219" s="2"/>
      <c r="G219" s="8">
        <v>14910</v>
      </c>
      <c r="H219" s="8">
        <v>778</v>
      </c>
      <c r="I219" s="8">
        <v>289</v>
      </c>
      <c r="J219" s="8">
        <v>2541</v>
      </c>
      <c r="K219" s="9">
        <v>14309</v>
      </c>
      <c r="L219" s="2">
        <v>247815</v>
      </c>
      <c r="M219" s="2" t="s">
        <v>31</v>
      </c>
    </row>
    <row r="220" spans="1:13" ht="14.25" customHeight="1">
      <c r="A220" s="2" t="s">
        <v>389</v>
      </c>
      <c r="B220" s="2" t="s">
        <v>21</v>
      </c>
      <c r="C220" s="3" t="s">
        <v>143</v>
      </c>
      <c r="D220" s="2" t="s">
        <v>43</v>
      </c>
      <c r="E220" s="2" t="s">
        <v>44</v>
      </c>
      <c r="F220" s="2" t="s">
        <v>45</v>
      </c>
      <c r="G220" s="8">
        <v>9943</v>
      </c>
      <c r="H220" s="8">
        <v>1274</v>
      </c>
      <c r="I220" s="8">
        <v>336</v>
      </c>
      <c r="J220" s="8">
        <v>389</v>
      </c>
      <c r="K220" s="9">
        <v>6145</v>
      </c>
      <c r="L220" s="2">
        <v>231305</v>
      </c>
      <c r="M220" s="2" t="s">
        <v>19</v>
      </c>
    </row>
    <row r="221" spans="1:13" ht="14.25" customHeight="1">
      <c r="A221" s="2" t="s">
        <v>390</v>
      </c>
      <c r="B221" s="2" t="s">
        <v>14</v>
      </c>
      <c r="C221" s="3" t="s">
        <v>391</v>
      </c>
      <c r="D221" s="2" t="s">
        <v>34</v>
      </c>
      <c r="E221" s="2" t="s">
        <v>22</v>
      </c>
      <c r="F221" s="2" t="s">
        <v>23</v>
      </c>
      <c r="G221" s="8">
        <v>14199</v>
      </c>
      <c r="H221" s="8">
        <v>1206</v>
      </c>
      <c r="I221" s="8">
        <v>954</v>
      </c>
      <c r="J221" s="8">
        <v>2009</v>
      </c>
      <c r="K221" s="9">
        <v>8</v>
      </c>
      <c r="L221" s="2">
        <v>65537</v>
      </c>
      <c r="M221" s="2" t="s">
        <v>31</v>
      </c>
    </row>
    <row r="222" spans="1:13" ht="14.25" customHeight="1">
      <c r="A222" s="2" t="s">
        <v>392</v>
      </c>
      <c r="B222" s="2" t="s">
        <v>14</v>
      </c>
      <c r="C222" s="3" t="s">
        <v>218</v>
      </c>
      <c r="D222" s="2" t="s">
        <v>43</v>
      </c>
      <c r="E222" s="2" t="s">
        <v>44</v>
      </c>
      <c r="F222" s="2" t="s">
        <v>45</v>
      </c>
      <c r="G222" s="8">
        <v>17728</v>
      </c>
      <c r="H222" s="8">
        <v>1487</v>
      </c>
      <c r="I222" s="8">
        <v>210</v>
      </c>
      <c r="J222" s="8">
        <v>2469</v>
      </c>
      <c r="K222" s="9">
        <v>30565</v>
      </c>
      <c r="L222" s="2">
        <v>117576</v>
      </c>
      <c r="M222" s="2" t="s">
        <v>19</v>
      </c>
    </row>
    <row r="223" spans="1:13" ht="14.25" customHeight="1">
      <c r="A223" s="2" t="s">
        <v>393</v>
      </c>
      <c r="B223" s="2" t="s">
        <v>14</v>
      </c>
      <c r="C223" s="3" t="s">
        <v>394</v>
      </c>
      <c r="D223" s="2" t="s">
        <v>28</v>
      </c>
      <c r="E223" s="2" t="s">
        <v>92</v>
      </c>
      <c r="F223" s="2"/>
      <c r="G223" s="8">
        <v>8738</v>
      </c>
      <c r="H223" s="8">
        <v>295</v>
      </c>
      <c r="I223" s="8">
        <v>529</v>
      </c>
      <c r="J223" s="8">
        <v>442</v>
      </c>
      <c r="K223" s="9">
        <v>25286</v>
      </c>
      <c r="L223" s="2">
        <v>147522</v>
      </c>
      <c r="M223" s="2" t="s">
        <v>37</v>
      </c>
    </row>
    <row r="224" spans="1:13" ht="14.25" customHeight="1">
      <c r="A224" s="2" t="s">
        <v>395</v>
      </c>
      <c r="B224" s="2" t="s">
        <v>53</v>
      </c>
      <c r="C224" s="3" t="s">
        <v>317</v>
      </c>
      <c r="D224" s="2" t="s">
        <v>34</v>
      </c>
      <c r="E224" s="2" t="s">
        <v>29</v>
      </c>
      <c r="F224" s="2" t="s">
        <v>30</v>
      </c>
      <c r="G224" s="8">
        <v>17913</v>
      </c>
      <c r="H224" s="8">
        <v>1311</v>
      </c>
      <c r="I224" s="8">
        <v>859</v>
      </c>
      <c r="J224" s="8">
        <v>405</v>
      </c>
      <c r="K224" s="9">
        <v>59842</v>
      </c>
      <c r="L224" s="2">
        <v>62612</v>
      </c>
      <c r="M224" s="2" t="s">
        <v>31</v>
      </c>
    </row>
    <row r="225" spans="1:13" ht="14.25" customHeight="1">
      <c r="A225" s="2" t="s">
        <v>396</v>
      </c>
      <c r="B225" s="2" t="s">
        <v>21</v>
      </c>
      <c r="C225" s="4">
        <v>45907</v>
      </c>
      <c r="D225" s="2" t="s">
        <v>28</v>
      </c>
      <c r="E225" s="2" t="s">
        <v>176</v>
      </c>
      <c r="F225" s="2" t="s">
        <v>177</v>
      </c>
      <c r="G225" s="8">
        <v>4472</v>
      </c>
      <c r="H225" s="8">
        <v>1301</v>
      </c>
      <c r="I225" s="8">
        <v>956</v>
      </c>
      <c r="J225" s="8">
        <v>1186</v>
      </c>
      <c r="K225" s="9">
        <v>3363</v>
      </c>
      <c r="L225" s="2">
        <v>46471</v>
      </c>
      <c r="M225" s="2" t="s">
        <v>24</v>
      </c>
    </row>
    <row r="226" spans="1:13" ht="14.25" customHeight="1">
      <c r="A226" s="2" t="s">
        <v>397</v>
      </c>
      <c r="B226" s="2" t="s">
        <v>53</v>
      </c>
      <c r="C226" s="3" t="s">
        <v>398</v>
      </c>
      <c r="D226" s="2" t="s">
        <v>34</v>
      </c>
      <c r="E226" s="2" t="s">
        <v>48</v>
      </c>
      <c r="F226" s="2" t="s">
        <v>49</v>
      </c>
      <c r="G226" s="8">
        <v>21123</v>
      </c>
      <c r="H226" s="8">
        <v>1343</v>
      </c>
      <c r="I226" s="8">
        <v>589</v>
      </c>
      <c r="J226" s="8">
        <v>727</v>
      </c>
      <c r="K226" s="9">
        <v>87833</v>
      </c>
      <c r="L226" s="2">
        <v>206703</v>
      </c>
      <c r="M226" s="2" t="s">
        <v>19</v>
      </c>
    </row>
    <row r="227" spans="1:13" ht="14.25" customHeight="1">
      <c r="A227" s="2" t="s">
        <v>399</v>
      </c>
      <c r="B227" s="2" t="s">
        <v>53</v>
      </c>
      <c r="C227" s="4">
        <v>45908</v>
      </c>
      <c r="D227" s="2" t="s">
        <v>28</v>
      </c>
      <c r="E227" s="2" t="s">
        <v>48</v>
      </c>
      <c r="F227" s="2" t="s">
        <v>49</v>
      </c>
      <c r="G227" s="8">
        <v>23785</v>
      </c>
      <c r="H227" s="8">
        <v>1013</v>
      </c>
      <c r="I227" s="8">
        <v>468</v>
      </c>
      <c r="J227" s="8">
        <v>1628</v>
      </c>
      <c r="K227" s="9">
        <v>8272</v>
      </c>
      <c r="L227" s="2">
        <v>71348</v>
      </c>
      <c r="M227" s="2" t="s">
        <v>24</v>
      </c>
    </row>
    <row r="228" spans="1:13" ht="14.25" customHeight="1">
      <c r="A228" s="2" t="s">
        <v>400</v>
      </c>
      <c r="B228" s="2" t="s">
        <v>26</v>
      </c>
      <c r="C228" s="3" t="s">
        <v>401</v>
      </c>
      <c r="D228" s="2" t="s">
        <v>28</v>
      </c>
      <c r="E228" s="2" t="s">
        <v>22</v>
      </c>
      <c r="F228" s="2" t="s">
        <v>23</v>
      </c>
      <c r="G228" s="8">
        <v>17679</v>
      </c>
      <c r="H228" s="8">
        <v>690</v>
      </c>
      <c r="I228" s="8">
        <v>451</v>
      </c>
      <c r="J228" s="8">
        <v>2195</v>
      </c>
      <c r="K228" s="9">
        <v>4390</v>
      </c>
      <c r="L228" s="2">
        <v>235804</v>
      </c>
      <c r="M228" s="2" t="s">
        <v>62</v>
      </c>
    </row>
    <row r="229" spans="1:13" ht="14.25" customHeight="1">
      <c r="A229" s="2" t="s">
        <v>402</v>
      </c>
      <c r="B229" s="2" t="s">
        <v>53</v>
      </c>
      <c r="C229" s="3" t="s">
        <v>403</v>
      </c>
      <c r="D229" s="2" t="s">
        <v>34</v>
      </c>
      <c r="E229" s="2" t="s">
        <v>29</v>
      </c>
      <c r="F229" s="2" t="s">
        <v>30</v>
      </c>
      <c r="G229" s="8">
        <v>3761</v>
      </c>
      <c r="H229" s="8">
        <v>651</v>
      </c>
      <c r="I229" s="8">
        <v>493</v>
      </c>
      <c r="J229" s="8">
        <v>2294</v>
      </c>
      <c r="K229" s="9">
        <v>71696</v>
      </c>
      <c r="L229" s="2">
        <v>41177</v>
      </c>
      <c r="M229" s="2" t="s">
        <v>19</v>
      </c>
    </row>
    <row r="230" spans="1:13" ht="14.25" customHeight="1">
      <c r="A230" s="2" t="s">
        <v>404</v>
      </c>
      <c r="B230" s="2" t="s">
        <v>26</v>
      </c>
      <c r="C230" s="3" t="s">
        <v>125</v>
      </c>
      <c r="D230" s="2" t="s">
        <v>34</v>
      </c>
      <c r="E230" s="2" t="s">
        <v>22</v>
      </c>
      <c r="F230" s="2" t="s">
        <v>23</v>
      </c>
      <c r="G230" s="8">
        <v>12167</v>
      </c>
      <c r="H230" s="8">
        <v>364</v>
      </c>
      <c r="I230" s="8">
        <v>160</v>
      </c>
      <c r="J230" s="8">
        <v>616</v>
      </c>
      <c r="K230" s="9">
        <v>42228</v>
      </c>
      <c r="L230" s="2">
        <v>175832</v>
      </c>
      <c r="M230" s="2" t="s">
        <v>31</v>
      </c>
    </row>
    <row r="231" spans="1:13" ht="14.25" customHeight="1">
      <c r="A231" s="2" t="s">
        <v>405</v>
      </c>
      <c r="B231" s="2" t="s">
        <v>26</v>
      </c>
      <c r="C231" s="3" t="s">
        <v>274</v>
      </c>
      <c r="D231" s="2" t="s">
        <v>34</v>
      </c>
      <c r="E231" s="2" t="s">
        <v>40</v>
      </c>
      <c r="F231" s="2"/>
      <c r="G231" s="8">
        <v>12554</v>
      </c>
      <c r="H231" s="8">
        <v>381</v>
      </c>
      <c r="I231" s="8">
        <v>211</v>
      </c>
      <c r="J231" s="8">
        <v>2286</v>
      </c>
      <c r="K231" s="9">
        <v>50567</v>
      </c>
      <c r="L231" s="2">
        <v>72779</v>
      </c>
      <c r="M231" s="2" t="s">
        <v>19</v>
      </c>
    </row>
    <row r="232" spans="1:13" ht="14.25" customHeight="1">
      <c r="A232" s="2" t="s">
        <v>406</v>
      </c>
      <c r="B232" s="2" t="s">
        <v>53</v>
      </c>
      <c r="C232" s="4">
        <v>45909</v>
      </c>
      <c r="D232" s="2" t="s">
        <v>16</v>
      </c>
      <c r="E232" s="2" t="s">
        <v>44</v>
      </c>
      <c r="F232" s="2" t="s">
        <v>45</v>
      </c>
      <c r="G232" s="8">
        <v>19260</v>
      </c>
      <c r="H232" s="8">
        <v>668</v>
      </c>
      <c r="I232" s="8">
        <v>994</v>
      </c>
      <c r="J232" s="8">
        <v>934</v>
      </c>
      <c r="K232" s="9">
        <v>20509</v>
      </c>
      <c r="L232" s="2">
        <v>61636</v>
      </c>
      <c r="M232" s="2" t="s">
        <v>24</v>
      </c>
    </row>
    <row r="233" spans="1:13" ht="14.25" customHeight="1">
      <c r="A233" s="2" t="s">
        <v>407</v>
      </c>
      <c r="B233" s="2" t="s">
        <v>21</v>
      </c>
      <c r="C233" s="3" t="s">
        <v>408</v>
      </c>
      <c r="D233" s="2" t="s">
        <v>43</v>
      </c>
      <c r="E233" s="2" t="s">
        <v>48</v>
      </c>
      <c r="F233" s="2" t="s">
        <v>49</v>
      </c>
      <c r="G233" s="8">
        <v>16277</v>
      </c>
      <c r="H233" s="8">
        <v>1109</v>
      </c>
      <c r="I233" s="8">
        <v>375</v>
      </c>
      <c r="J233" s="8">
        <v>2225</v>
      </c>
      <c r="K233" s="9">
        <v>1044</v>
      </c>
      <c r="L233" s="2">
        <v>121889</v>
      </c>
      <c r="M233" s="2" t="s">
        <v>37</v>
      </c>
    </row>
    <row r="234" spans="1:13" ht="14.25" customHeight="1">
      <c r="A234" s="2" t="s">
        <v>409</v>
      </c>
      <c r="B234" s="2" t="s">
        <v>21</v>
      </c>
      <c r="C234" s="3" t="s">
        <v>159</v>
      </c>
      <c r="D234" s="2" t="s">
        <v>16</v>
      </c>
      <c r="E234" s="2" t="s">
        <v>17</v>
      </c>
      <c r="F234" s="2" t="s">
        <v>18</v>
      </c>
      <c r="G234" s="8">
        <v>5812</v>
      </c>
      <c r="H234" s="8">
        <v>934</v>
      </c>
      <c r="I234" s="8">
        <v>302</v>
      </c>
      <c r="J234" s="8">
        <v>2356</v>
      </c>
      <c r="K234" s="9">
        <v>37437</v>
      </c>
      <c r="L234" s="2">
        <v>93551</v>
      </c>
      <c r="M234" s="2" t="s">
        <v>19</v>
      </c>
    </row>
    <row r="235" spans="1:13" ht="14.25" customHeight="1">
      <c r="A235" s="2" t="s">
        <v>410</v>
      </c>
      <c r="B235" s="2" t="s">
        <v>21</v>
      </c>
      <c r="C235" s="3" t="s">
        <v>411</v>
      </c>
      <c r="D235" s="2" t="s">
        <v>16</v>
      </c>
      <c r="E235" s="2" t="s">
        <v>44</v>
      </c>
      <c r="F235" s="2" t="s">
        <v>45</v>
      </c>
      <c r="G235" s="8">
        <v>19844</v>
      </c>
      <c r="H235" s="8">
        <v>1022</v>
      </c>
      <c r="I235" s="8">
        <v>860</v>
      </c>
      <c r="J235" s="8">
        <v>2570</v>
      </c>
      <c r="K235" s="9">
        <v>23719</v>
      </c>
      <c r="L235" s="2">
        <v>182628</v>
      </c>
      <c r="M235" s="2" t="s">
        <v>31</v>
      </c>
    </row>
    <row r="236" spans="1:13" ht="14.25" customHeight="1">
      <c r="A236" s="2" t="s">
        <v>412</v>
      </c>
      <c r="B236" s="2" t="s">
        <v>21</v>
      </c>
      <c r="C236" s="3" t="s">
        <v>345</v>
      </c>
      <c r="D236" s="2" t="s">
        <v>28</v>
      </c>
      <c r="E236" s="2" t="s">
        <v>35</v>
      </c>
      <c r="F236" s="2" t="s">
        <v>36</v>
      </c>
      <c r="G236" s="8">
        <v>20117</v>
      </c>
      <c r="H236" s="8">
        <v>1143</v>
      </c>
      <c r="I236" s="8">
        <v>713</v>
      </c>
      <c r="J236" s="8">
        <v>1739</v>
      </c>
      <c r="K236" s="9">
        <v>34444</v>
      </c>
      <c r="L236" s="2">
        <v>198670</v>
      </c>
      <c r="M236" s="2" t="s">
        <v>62</v>
      </c>
    </row>
    <row r="237" spans="1:13" ht="14.25" customHeight="1">
      <c r="A237" s="2" t="s">
        <v>413</v>
      </c>
      <c r="B237" s="2" t="s">
        <v>21</v>
      </c>
      <c r="C237" s="3" t="s">
        <v>71</v>
      </c>
      <c r="D237" s="2" t="s">
        <v>34</v>
      </c>
      <c r="E237" s="2" t="s">
        <v>77</v>
      </c>
      <c r="F237" s="2" t="s">
        <v>40</v>
      </c>
      <c r="G237" s="8">
        <v>3605</v>
      </c>
      <c r="H237" s="8">
        <v>206</v>
      </c>
      <c r="I237" s="8">
        <v>921</v>
      </c>
      <c r="J237" s="8">
        <v>852</v>
      </c>
      <c r="K237" s="9">
        <v>11660</v>
      </c>
      <c r="L237" s="2">
        <v>182635</v>
      </c>
      <c r="M237" s="2" t="s">
        <v>37</v>
      </c>
    </row>
    <row r="238" spans="1:13" ht="14.25" customHeight="1">
      <c r="A238" s="2" t="s">
        <v>414</v>
      </c>
      <c r="B238" s="2" t="s">
        <v>53</v>
      </c>
      <c r="C238" s="3" t="s">
        <v>298</v>
      </c>
      <c r="D238" s="2" t="s">
        <v>43</v>
      </c>
      <c r="E238" s="2" t="s">
        <v>29</v>
      </c>
      <c r="F238" s="2" t="s">
        <v>30</v>
      </c>
      <c r="G238" s="8">
        <v>7622</v>
      </c>
      <c r="H238" s="8">
        <v>529</v>
      </c>
      <c r="I238" s="8">
        <v>720</v>
      </c>
      <c r="J238" s="8">
        <v>1015</v>
      </c>
      <c r="K238" s="9">
        <v>71322</v>
      </c>
      <c r="L238" s="2">
        <v>86819</v>
      </c>
      <c r="M238" s="2" t="s">
        <v>62</v>
      </c>
    </row>
    <row r="239" spans="1:13" ht="14.25" customHeight="1">
      <c r="A239" s="2" t="s">
        <v>415</v>
      </c>
      <c r="B239" s="2" t="s">
        <v>53</v>
      </c>
      <c r="C239" s="3" t="s">
        <v>416</v>
      </c>
      <c r="D239" s="2" t="s">
        <v>28</v>
      </c>
      <c r="E239" s="2" t="s">
        <v>55</v>
      </c>
      <c r="F239" s="2" t="s">
        <v>35</v>
      </c>
      <c r="G239" s="8">
        <v>8767</v>
      </c>
      <c r="H239" s="8">
        <v>974</v>
      </c>
      <c r="I239" s="8">
        <v>733</v>
      </c>
      <c r="J239" s="8">
        <v>1587</v>
      </c>
      <c r="K239" s="9">
        <v>74927</v>
      </c>
      <c r="L239" s="2">
        <v>113770</v>
      </c>
      <c r="M239" s="2" t="s">
        <v>19</v>
      </c>
    </row>
    <row r="240" spans="1:13" ht="14.25" customHeight="1">
      <c r="A240" s="2" t="s">
        <v>417</v>
      </c>
      <c r="B240" s="2" t="s">
        <v>14</v>
      </c>
      <c r="C240" s="4">
        <v>45910</v>
      </c>
      <c r="D240" s="2" t="s">
        <v>16</v>
      </c>
      <c r="E240" s="2" t="s">
        <v>22</v>
      </c>
      <c r="F240" s="2" t="s">
        <v>23</v>
      </c>
      <c r="G240" s="8">
        <v>13613</v>
      </c>
      <c r="H240" s="8">
        <v>350</v>
      </c>
      <c r="I240" s="8">
        <v>809</v>
      </c>
      <c r="J240" s="8">
        <v>2013</v>
      </c>
      <c r="K240" s="9">
        <v>20471</v>
      </c>
      <c r="L240" s="2">
        <v>198038</v>
      </c>
      <c r="M240" s="2" t="s">
        <v>24</v>
      </c>
    </row>
    <row r="241" spans="1:13" ht="14.25" customHeight="1">
      <c r="A241" s="2" t="s">
        <v>418</v>
      </c>
      <c r="B241" s="2" t="s">
        <v>21</v>
      </c>
      <c r="C241" s="4">
        <v>45911</v>
      </c>
      <c r="D241" s="2" t="s">
        <v>34</v>
      </c>
      <c r="E241" s="2" t="s">
        <v>44</v>
      </c>
      <c r="F241" s="2" t="s">
        <v>45</v>
      </c>
      <c r="G241" s="8">
        <v>21901</v>
      </c>
      <c r="H241" s="8">
        <v>1308</v>
      </c>
      <c r="I241" s="8">
        <v>724</v>
      </c>
      <c r="J241" s="8">
        <v>2183</v>
      </c>
      <c r="K241" s="9">
        <v>15996</v>
      </c>
      <c r="L241" s="2">
        <v>230961</v>
      </c>
      <c r="M241" s="2" t="s">
        <v>24</v>
      </c>
    </row>
    <row r="242" spans="1:13" ht="14.25" customHeight="1">
      <c r="A242" s="2" t="s">
        <v>419</v>
      </c>
      <c r="B242" s="2" t="s">
        <v>53</v>
      </c>
      <c r="C242" s="3" t="s">
        <v>420</v>
      </c>
      <c r="D242" s="2" t="s">
        <v>28</v>
      </c>
      <c r="E242" s="2" t="s">
        <v>77</v>
      </c>
      <c r="F242" s="2" t="s">
        <v>40</v>
      </c>
      <c r="G242" s="8">
        <v>12589</v>
      </c>
      <c r="H242" s="8">
        <v>346</v>
      </c>
      <c r="I242" s="8">
        <v>459</v>
      </c>
      <c r="J242" s="8">
        <v>1407</v>
      </c>
      <c r="K242" s="9">
        <v>29254</v>
      </c>
      <c r="L242" s="2">
        <v>198059</v>
      </c>
      <c r="M242" s="2" t="s">
        <v>31</v>
      </c>
    </row>
    <row r="243" spans="1:13" ht="14.25" customHeight="1">
      <c r="A243" s="2" t="s">
        <v>421</v>
      </c>
      <c r="B243" s="2" t="s">
        <v>14</v>
      </c>
      <c r="C243" s="4">
        <v>45912</v>
      </c>
      <c r="D243" s="2" t="s">
        <v>34</v>
      </c>
      <c r="E243" s="2" t="s">
        <v>44</v>
      </c>
      <c r="F243" s="2" t="s">
        <v>45</v>
      </c>
      <c r="G243" s="8">
        <v>15918</v>
      </c>
      <c r="H243" s="8">
        <v>1114</v>
      </c>
      <c r="I243" s="8">
        <v>392</v>
      </c>
      <c r="J243" s="8">
        <v>1641</v>
      </c>
      <c r="K243" s="9">
        <v>28044</v>
      </c>
      <c r="L243" s="2">
        <v>118714</v>
      </c>
      <c r="M243" s="2" t="s">
        <v>24</v>
      </c>
    </row>
    <row r="244" spans="1:13" ht="14.25" customHeight="1">
      <c r="A244" s="2" t="s">
        <v>422</v>
      </c>
      <c r="B244" s="2" t="s">
        <v>21</v>
      </c>
      <c r="C244" s="3" t="s">
        <v>423</v>
      </c>
      <c r="D244" s="2" t="s">
        <v>28</v>
      </c>
      <c r="E244" s="2" t="s">
        <v>55</v>
      </c>
      <c r="F244" s="2" t="s">
        <v>35</v>
      </c>
      <c r="G244" s="8">
        <v>22119</v>
      </c>
      <c r="H244" s="8">
        <v>899</v>
      </c>
      <c r="I244" s="8">
        <v>642</v>
      </c>
      <c r="J244" s="8">
        <v>410</v>
      </c>
      <c r="K244" s="9">
        <v>49490</v>
      </c>
      <c r="L244" s="2">
        <v>229420</v>
      </c>
      <c r="M244" s="2" t="s">
        <v>37</v>
      </c>
    </row>
    <row r="245" spans="1:13" ht="14.25" customHeight="1">
      <c r="A245" s="2" t="s">
        <v>424</v>
      </c>
      <c r="B245" s="2" t="s">
        <v>26</v>
      </c>
      <c r="C245" s="4">
        <v>45913</v>
      </c>
      <c r="D245" s="2" t="s">
        <v>34</v>
      </c>
      <c r="E245" s="2" t="s">
        <v>77</v>
      </c>
      <c r="F245" s="2" t="s">
        <v>40</v>
      </c>
      <c r="G245" s="8">
        <v>15046</v>
      </c>
      <c r="H245" s="8">
        <v>281</v>
      </c>
      <c r="I245" s="8">
        <v>515</v>
      </c>
      <c r="J245" s="8">
        <v>550</v>
      </c>
      <c r="K245" s="9">
        <v>22583</v>
      </c>
      <c r="L245" s="2">
        <v>64596</v>
      </c>
      <c r="M245" s="2" t="s">
        <v>24</v>
      </c>
    </row>
    <row r="246" spans="1:13" ht="14.25" customHeight="1">
      <c r="A246" s="2" t="s">
        <v>425</v>
      </c>
      <c r="B246" s="2" t="s">
        <v>14</v>
      </c>
      <c r="C246" s="3" t="s">
        <v>426</v>
      </c>
      <c r="D246" s="2" t="s">
        <v>16</v>
      </c>
      <c r="E246" s="2" t="s">
        <v>35</v>
      </c>
      <c r="F246" s="2" t="s">
        <v>36</v>
      </c>
      <c r="G246" s="8">
        <v>4590</v>
      </c>
      <c r="H246" s="8">
        <v>713</v>
      </c>
      <c r="I246" s="8">
        <v>479</v>
      </c>
      <c r="J246" s="8">
        <v>2730</v>
      </c>
      <c r="K246" s="9">
        <v>41050</v>
      </c>
      <c r="L246" s="2">
        <v>204246</v>
      </c>
      <c r="M246" s="2" t="s">
        <v>31</v>
      </c>
    </row>
    <row r="247" spans="1:13" ht="14.25" customHeight="1">
      <c r="A247" s="2" t="s">
        <v>427</v>
      </c>
      <c r="B247" s="2" t="s">
        <v>53</v>
      </c>
      <c r="C247" s="3" t="s">
        <v>428</v>
      </c>
      <c r="D247" s="2" t="s">
        <v>43</v>
      </c>
      <c r="E247" s="2" t="s">
        <v>55</v>
      </c>
      <c r="F247" s="2" t="s">
        <v>35</v>
      </c>
      <c r="G247" s="8">
        <v>19447</v>
      </c>
      <c r="H247" s="8">
        <v>1014</v>
      </c>
      <c r="I247" s="8">
        <v>256</v>
      </c>
      <c r="J247" s="8">
        <v>2354</v>
      </c>
      <c r="K247" s="9">
        <v>5472</v>
      </c>
      <c r="L247" s="2">
        <v>104106</v>
      </c>
      <c r="M247" s="2" t="s">
        <v>19</v>
      </c>
    </row>
    <row r="248" spans="1:13" ht="14.25" customHeight="1">
      <c r="A248" s="2" t="s">
        <v>429</v>
      </c>
      <c r="B248" s="2" t="s">
        <v>26</v>
      </c>
      <c r="C248" s="3" t="s">
        <v>430</v>
      </c>
      <c r="D248" s="2" t="s">
        <v>16</v>
      </c>
      <c r="E248" s="2" t="s">
        <v>92</v>
      </c>
      <c r="F248" s="2"/>
      <c r="G248" s="8">
        <v>6324</v>
      </c>
      <c r="H248" s="8">
        <v>908</v>
      </c>
      <c r="I248" s="8">
        <v>375</v>
      </c>
      <c r="J248" s="8">
        <v>758</v>
      </c>
      <c r="K248" s="9">
        <v>34850</v>
      </c>
      <c r="L248" s="2">
        <v>241039</v>
      </c>
      <c r="M248" s="2" t="s">
        <v>19</v>
      </c>
    </row>
    <row r="249" spans="1:13" ht="14.25" customHeight="1">
      <c r="A249" s="2" t="s">
        <v>431</v>
      </c>
      <c r="B249" s="2" t="s">
        <v>26</v>
      </c>
      <c r="C249" s="4">
        <v>45914</v>
      </c>
      <c r="D249" s="2" t="s">
        <v>43</v>
      </c>
      <c r="E249" s="2" t="s">
        <v>35</v>
      </c>
      <c r="F249" s="2" t="s">
        <v>69</v>
      </c>
      <c r="G249" s="8">
        <v>12787</v>
      </c>
      <c r="H249" s="8">
        <v>945</v>
      </c>
      <c r="I249" s="8">
        <v>974</v>
      </c>
      <c r="J249" s="8">
        <v>1407</v>
      </c>
      <c r="K249" s="9">
        <v>4037</v>
      </c>
      <c r="L249" s="2">
        <v>99182</v>
      </c>
      <c r="M249" s="2" t="s">
        <v>24</v>
      </c>
    </row>
    <row r="250" spans="1:13" ht="14.25" customHeight="1">
      <c r="A250" s="2" t="s">
        <v>432</v>
      </c>
      <c r="B250" s="2" t="s">
        <v>26</v>
      </c>
      <c r="C250" s="3" t="s">
        <v>433</v>
      </c>
      <c r="D250" s="2" t="s">
        <v>34</v>
      </c>
      <c r="E250" s="2" t="s">
        <v>92</v>
      </c>
      <c r="F250" s="2"/>
      <c r="G250" s="8">
        <v>11111</v>
      </c>
      <c r="H250" s="8">
        <v>1222</v>
      </c>
      <c r="I250" s="8">
        <v>367</v>
      </c>
      <c r="J250" s="8">
        <v>507</v>
      </c>
      <c r="K250" s="9">
        <v>14129</v>
      </c>
      <c r="L250" s="2">
        <v>127163</v>
      </c>
      <c r="M250" s="2" t="s">
        <v>62</v>
      </c>
    </row>
    <row r="251" spans="1:13" ht="14.25" customHeight="1">
      <c r="A251" s="2" t="s">
        <v>434</v>
      </c>
      <c r="B251" s="2" t="s">
        <v>14</v>
      </c>
      <c r="C251" s="3" t="s">
        <v>141</v>
      </c>
      <c r="D251" s="2" t="s">
        <v>28</v>
      </c>
      <c r="E251" s="2" t="s">
        <v>48</v>
      </c>
      <c r="F251" s="2" t="s">
        <v>49</v>
      </c>
      <c r="G251" s="8">
        <v>7342</v>
      </c>
      <c r="H251" s="8">
        <v>906</v>
      </c>
      <c r="I251" s="8">
        <v>902</v>
      </c>
      <c r="J251" s="8">
        <v>1199</v>
      </c>
      <c r="K251" s="9">
        <v>68488</v>
      </c>
      <c r="L251" s="2">
        <v>79310</v>
      </c>
      <c r="M251" s="2" t="s">
        <v>19</v>
      </c>
    </row>
    <row r="252" spans="1:13" ht="14.25" customHeight="1">
      <c r="A252" s="2" t="s">
        <v>435</v>
      </c>
      <c r="B252" s="2" t="s">
        <v>53</v>
      </c>
      <c r="C252" s="4">
        <v>45915</v>
      </c>
      <c r="D252" s="2" t="s">
        <v>16</v>
      </c>
      <c r="E252" s="2" t="s">
        <v>44</v>
      </c>
      <c r="F252" s="2" t="s">
        <v>45</v>
      </c>
      <c r="G252" s="8">
        <v>18389</v>
      </c>
      <c r="H252" s="8">
        <v>670</v>
      </c>
      <c r="I252" s="8">
        <v>655</v>
      </c>
      <c r="J252" s="8">
        <v>321</v>
      </c>
      <c r="K252" s="9">
        <v>21869</v>
      </c>
      <c r="L252" s="2">
        <v>96088</v>
      </c>
      <c r="M252" s="2" t="s">
        <v>24</v>
      </c>
    </row>
    <row r="253" spans="1:13" ht="14.25" customHeight="1">
      <c r="A253" s="2" t="s">
        <v>436</v>
      </c>
      <c r="B253" s="2" t="s">
        <v>26</v>
      </c>
      <c r="C253" s="3" t="s">
        <v>321</v>
      </c>
      <c r="D253" s="2" t="s">
        <v>43</v>
      </c>
      <c r="E253" s="2" t="s">
        <v>35</v>
      </c>
      <c r="F253" s="2" t="s">
        <v>69</v>
      </c>
      <c r="G253" s="8">
        <v>10659</v>
      </c>
      <c r="H253" s="8">
        <v>1342</v>
      </c>
      <c r="I253" s="8">
        <v>408</v>
      </c>
      <c r="J253" s="8">
        <v>709</v>
      </c>
      <c r="K253" s="9">
        <v>16309</v>
      </c>
      <c r="L253" s="2">
        <v>168803</v>
      </c>
      <c r="M253" s="2" t="s">
        <v>31</v>
      </c>
    </row>
    <row r="254" spans="1:13" ht="14.25" customHeight="1">
      <c r="A254" s="2" t="s">
        <v>437</v>
      </c>
      <c r="B254" s="2" t="s">
        <v>21</v>
      </c>
      <c r="C254" s="4">
        <v>45916</v>
      </c>
      <c r="D254" s="2" t="s">
        <v>16</v>
      </c>
      <c r="E254" s="2" t="s">
        <v>92</v>
      </c>
      <c r="F254" s="2"/>
      <c r="G254" s="8">
        <v>16043</v>
      </c>
      <c r="H254" s="8">
        <v>595</v>
      </c>
      <c r="I254" s="8">
        <v>923</v>
      </c>
      <c r="J254" s="8">
        <v>1194</v>
      </c>
      <c r="K254" s="9">
        <v>52613</v>
      </c>
      <c r="L254" s="2">
        <v>179978</v>
      </c>
      <c r="M254" s="2" t="s">
        <v>24</v>
      </c>
    </row>
    <row r="255" spans="1:13" ht="14.25" customHeight="1">
      <c r="A255" s="2" t="s">
        <v>438</v>
      </c>
      <c r="B255" s="2" t="s">
        <v>26</v>
      </c>
      <c r="C255" s="3" t="s">
        <v>439</v>
      </c>
      <c r="D255" s="2" t="s">
        <v>43</v>
      </c>
      <c r="E255" s="2" t="s">
        <v>35</v>
      </c>
      <c r="F255" s="2" t="s">
        <v>69</v>
      </c>
      <c r="G255" s="8">
        <v>24350</v>
      </c>
      <c r="H255" s="8">
        <v>460</v>
      </c>
      <c r="I255" s="8">
        <v>666</v>
      </c>
      <c r="J255" s="8">
        <v>814</v>
      </c>
      <c r="K255" s="9">
        <v>21120</v>
      </c>
      <c r="L255" s="2">
        <v>76914</v>
      </c>
      <c r="M255" s="2" t="s">
        <v>19</v>
      </c>
    </row>
    <row r="256" spans="1:13" ht="14.25" customHeight="1">
      <c r="A256" s="2" t="s">
        <v>440</v>
      </c>
      <c r="B256" s="2" t="s">
        <v>26</v>
      </c>
      <c r="C256" s="3" t="s">
        <v>441</v>
      </c>
      <c r="D256" s="2" t="s">
        <v>16</v>
      </c>
      <c r="E256" s="2" t="s">
        <v>176</v>
      </c>
      <c r="F256" s="2" t="s">
        <v>177</v>
      </c>
      <c r="G256" s="8">
        <v>10837</v>
      </c>
      <c r="H256" s="8">
        <v>1004</v>
      </c>
      <c r="I256" s="8">
        <v>922</v>
      </c>
      <c r="J256" s="8">
        <v>1108</v>
      </c>
      <c r="K256" s="9">
        <v>36807</v>
      </c>
      <c r="L256" s="2">
        <v>150350</v>
      </c>
      <c r="M256" s="2" t="s">
        <v>31</v>
      </c>
    </row>
    <row r="257" spans="1:13" ht="14.25" customHeight="1">
      <c r="A257" s="2" t="s">
        <v>442</v>
      </c>
      <c r="B257" s="2" t="s">
        <v>14</v>
      </c>
      <c r="C257" s="4">
        <v>45917</v>
      </c>
      <c r="D257" s="2" t="s">
        <v>43</v>
      </c>
      <c r="E257" s="2" t="s">
        <v>44</v>
      </c>
      <c r="F257" s="2" t="s">
        <v>45</v>
      </c>
      <c r="G257" s="8">
        <v>2117</v>
      </c>
      <c r="H257" s="8">
        <v>1133</v>
      </c>
      <c r="I257" s="8">
        <v>203</v>
      </c>
      <c r="J257" s="8">
        <v>1173</v>
      </c>
      <c r="K257" s="9">
        <v>40125</v>
      </c>
      <c r="L257" s="2">
        <v>85379</v>
      </c>
      <c r="M257" s="2" t="s">
        <v>24</v>
      </c>
    </row>
    <row r="258" spans="1:13" ht="14.25" customHeight="1">
      <c r="A258" s="2" t="s">
        <v>443</v>
      </c>
      <c r="B258" s="2" t="s">
        <v>14</v>
      </c>
      <c r="C258" s="3" t="s">
        <v>251</v>
      </c>
      <c r="D258" s="2" t="s">
        <v>43</v>
      </c>
      <c r="E258" s="2" t="s">
        <v>35</v>
      </c>
      <c r="F258" s="2" t="s">
        <v>69</v>
      </c>
      <c r="G258" s="8">
        <v>15917</v>
      </c>
      <c r="H258" s="8">
        <v>1479</v>
      </c>
      <c r="I258" s="8">
        <v>196</v>
      </c>
      <c r="J258" s="8">
        <v>313</v>
      </c>
      <c r="K258" s="9">
        <v>48524</v>
      </c>
      <c r="L258" s="2">
        <v>249684</v>
      </c>
      <c r="M258" s="2" t="s">
        <v>37</v>
      </c>
    </row>
    <row r="259" spans="1:13" ht="14.25" customHeight="1">
      <c r="A259" s="2" t="s">
        <v>444</v>
      </c>
      <c r="B259" s="2" t="s">
        <v>53</v>
      </c>
      <c r="C259" s="3" t="s">
        <v>445</v>
      </c>
      <c r="D259" s="2" t="s">
        <v>34</v>
      </c>
      <c r="E259" s="2" t="s">
        <v>17</v>
      </c>
      <c r="F259" s="2" t="s">
        <v>18</v>
      </c>
      <c r="G259" s="8">
        <v>20935</v>
      </c>
      <c r="H259" s="8">
        <v>1104</v>
      </c>
      <c r="I259" s="8">
        <v>876</v>
      </c>
      <c r="J259" s="8">
        <v>1270</v>
      </c>
      <c r="K259" s="9">
        <v>21454</v>
      </c>
      <c r="L259" s="2">
        <v>208722</v>
      </c>
      <c r="M259" s="2" t="s">
        <v>31</v>
      </c>
    </row>
    <row r="260" spans="1:13" ht="14.25" customHeight="1">
      <c r="A260" s="2" t="s">
        <v>446</v>
      </c>
      <c r="B260" s="2" t="s">
        <v>21</v>
      </c>
      <c r="C260" s="3" t="s">
        <v>447</v>
      </c>
      <c r="D260" s="2" t="s">
        <v>43</v>
      </c>
      <c r="E260" s="2" t="s">
        <v>22</v>
      </c>
      <c r="F260" s="2" t="s">
        <v>23</v>
      </c>
      <c r="G260" s="8">
        <v>16309</v>
      </c>
      <c r="H260" s="8">
        <v>1449</v>
      </c>
      <c r="I260" s="8">
        <v>838</v>
      </c>
      <c r="J260" s="8">
        <v>2434</v>
      </c>
      <c r="K260" s="9">
        <v>2940</v>
      </c>
      <c r="L260" s="2">
        <v>217953</v>
      </c>
      <c r="M260" s="2" t="s">
        <v>37</v>
      </c>
    </row>
    <row r="261" spans="1:13" ht="14.25" customHeight="1">
      <c r="A261" s="2" t="s">
        <v>448</v>
      </c>
      <c r="B261" s="2" t="s">
        <v>14</v>
      </c>
      <c r="C261" s="3" t="s">
        <v>449</v>
      </c>
      <c r="D261" s="2" t="s">
        <v>34</v>
      </c>
      <c r="E261" s="2" t="s">
        <v>22</v>
      </c>
      <c r="F261" s="2" t="s">
        <v>23</v>
      </c>
      <c r="G261" s="8">
        <v>15234</v>
      </c>
      <c r="H261" s="8">
        <v>1276</v>
      </c>
      <c r="I261" s="8">
        <v>670</v>
      </c>
      <c r="J261" s="8">
        <v>1860</v>
      </c>
      <c r="K261" s="9">
        <v>60397</v>
      </c>
      <c r="L261" s="2">
        <v>86413</v>
      </c>
      <c r="M261" s="2" t="s">
        <v>62</v>
      </c>
    </row>
    <row r="262" spans="1:13" ht="14.25" customHeight="1">
      <c r="A262" s="2" t="s">
        <v>450</v>
      </c>
      <c r="B262" s="2" t="s">
        <v>26</v>
      </c>
      <c r="C262" s="3" t="s">
        <v>451</v>
      </c>
      <c r="D262" s="2" t="s">
        <v>43</v>
      </c>
      <c r="E262" s="2" t="s">
        <v>17</v>
      </c>
      <c r="F262" s="2" t="s">
        <v>18</v>
      </c>
      <c r="G262" s="8">
        <v>7560</v>
      </c>
      <c r="H262" s="8">
        <v>1139</v>
      </c>
      <c r="I262" s="8">
        <v>248</v>
      </c>
      <c r="J262" s="8">
        <v>1624</v>
      </c>
      <c r="K262" s="9">
        <v>72237</v>
      </c>
      <c r="L262" s="2">
        <v>177084</v>
      </c>
      <c r="M262" s="2" t="s">
        <v>31</v>
      </c>
    </row>
    <row r="263" spans="1:13" ht="14.25" customHeight="1">
      <c r="A263" s="2" t="s">
        <v>452</v>
      </c>
      <c r="B263" s="2" t="s">
        <v>53</v>
      </c>
      <c r="C263" s="3" t="s">
        <v>420</v>
      </c>
      <c r="D263" s="2" t="s">
        <v>28</v>
      </c>
      <c r="E263" s="2" t="s">
        <v>77</v>
      </c>
      <c r="F263" s="2" t="s">
        <v>40</v>
      </c>
      <c r="G263" s="8">
        <v>22673</v>
      </c>
      <c r="H263" s="8">
        <v>1053</v>
      </c>
      <c r="I263" s="8">
        <v>169</v>
      </c>
      <c r="J263" s="8">
        <v>1566</v>
      </c>
      <c r="K263" s="9">
        <v>9417</v>
      </c>
      <c r="L263" s="2">
        <v>221187</v>
      </c>
      <c r="M263" s="2" t="s">
        <v>37</v>
      </c>
    </row>
    <row r="264" spans="1:13" ht="14.25" customHeight="1">
      <c r="A264" s="2" t="s">
        <v>453</v>
      </c>
      <c r="B264" s="2" t="s">
        <v>26</v>
      </c>
      <c r="C264" s="3" t="s">
        <v>454</v>
      </c>
      <c r="D264" s="2" t="s">
        <v>28</v>
      </c>
      <c r="E264" s="2" t="s">
        <v>40</v>
      </c>
      <c r="F264" s="2"/>
      <c r="G264" s="8">
        <v>2846</v>
      </c>
      <c r="H264" s="8">
        <v>792</v>
      </c>
      <c r="I264" s="8">
        <v>902</v>
      </c>
      <c r="J264" s="8">
        <v>2469</v>
      </c>
      <c r="K264" s="9">
        <v>12130</v>
      </c>
      <c r="L264" s="2">
        <v>47151</v>
      </c>
      <c r="M264" s="2" t="s">
        <v>19</v>
      </c>
    </row>
    <row r="265" spans="1:13" ht="14.25" customHeight="1">
      <c r="A265" s="2" t="s">
        <v>455</v>
      </c>
      <c r="B265" s="2" t="s">
        <v>26</v>
      </c>
      <c r="C265" s="3" t="s">
        <v>456</v>
      </c>
      <c r="D265" s="2" t="s">
        <v>28</v>
      </c>
      <c r="E265" s="2" t="s">
        <v>77</v>
      </c>
      <c r="F265" s="2" t="s">
        <v>40</v>
      </c>
      <c r="G265" s="8">
        <v>12954</v>
      </c>
      <c r="H265" s="8">
        <v>913</v>
      </c>
      <c r="I265" s="8">
        <v>722</v>
      </c>
      <c r="J265" s="8">
        <v>1049</v>
      </c>
      <c r="K265" s="9">
        <v>475</v>
      </c>
      <c r="L265" s="2">
        <v>97716</v>
      </c>
      <c r="M265" s="2" t="s">
        <v>19</v>
      </c>
    </row>
    <row r="266" spans="1:13" ht="14.25" customHeight="1">
      <c r="A266" s="2" t="s">
        <v>457</v>
      </c>
      <c r="B266" s="2" t="s">
        <v>14</v>
      </c>
      <c r="C266" s="3" t="s">
        <v>458</v>
      </c>
      <c r="D266" s="2" t="s">
        <v>43</v>
      </c>
      <c r="E266" s="2" t="s">
        <v>55</v>
      </c>
      <c r="F266" s="2" t="s">
        <v>35</v>
      </c>
      <c r="G266" s="8">
        <v>15703</v>
      </c>
      <c r="H266" s="8">
        <v>1381</v>
      </c>
      <c r="I266" s="8">
        <v>639</v>
      </c>
      <c r="J266" s="8">
        <v>984</v>
      </c>
      <c r="K266" s="9">
        <v>10967</v>
      </c>
      <c r="L266" s="2">
        <v>133747</v>
      </c>
      <c r="M266" s="2" t="s">
        <v>62</v>
      </c>
    </row>
    <row r="267" spans="1:13" ht="14.25" customHeight="1">
      <c r="A267" s="2" t="s">
        <v>459</v>
      </c>
      <c r="B267" s="2" t="s">
        <v>53</v>
      </c>
      <c r="C267" s="3" t="s">
        <v>460</v>
      </c>
      <c r="D267" s="2" t="s">
        <v>34</v>
      </c>
      <c r="E267" s="2" t="s">
        <v>55</v>
      </c>
      <c r="F267" s="2" t="s">
        <v>35</v>
      </c>
      <c r="G267" s="8">
        <v>17385</v>
      </c>
      <c r="H267" s="8">
        <v>831</v>
      </c>
      <c r="I267" s="8">
        <v>568</v>
      </c>
      <c r="J267" s="8">
        <v>2227</v>
      </c>
      <c r="K267" s="9">
        <v>49351</v>
      </c>
      <c r="L267" s="2">
        <v>207450</v>
      </c>
      <c r="M267" s="2" t="s">
        <v>31</v>
      </c>
    </row>
    <row r="268" spans="1:13" ht="14.25" customHeight="1">
      <c r="A268" s="2" t="s">
        <v>461</v>
      </c>
      <c r="B268" s="2" t="s">
        <v>21</v>
      </c>
      <c r="C268" s="3" t="s">
        <v>350</v>
      </c>
      <c r="D268" s="2" t="s">
        <v>34</v>
      </c>
      <c r="E268" s="2" t="s">
        <v>35</v>
      </c>
      <c r="F268" s="2" t="s">
        <v>69</v>
      </c>
      <c r="G268" s="8">
        <v>15746</v>
      </c>
      <c r="H268" s="8">
        <v>258</v>
      </c>
      <c r="I268" s="8">
        <v>839</v>
      </c>
      <c r="J268" s="8">
        <v>2656</v>
      </c>
      <c r="K268" s="9">
        <v>66614</v>
      </c>
      <c r="L268" s="2">
        <v>213724</v>
      </c>
      <c r="M268" s="2" t="s">
        <v>31</v>
      </c>
    </row>
    <row r="269" spans="1:13" ht="14.25" customHeight="1">
      <c r="A269" s="2" t="s">
        <v>462</v>
      </c>
      <c r="B269" s="2" t="s">
        <v>21</v>
      </c>
      <c r="C269" s="3" t="s">
        <v>463</v>
      </c>
      <c r="D269" s="2" t="s">
        <v>43</v>
      </c>
      <c r="E269" s="2" t="s">
        <v>92</v>
      </c>
      <c r="F269" s="2"/>
      <c r="G269" s="8">
        <v>24700</v>
      </c>
      <c r="H269" s="8">
        <v>327</v>
      </c>
      <c r="I269" s="8">
        <v>999</v>
      </c>
      <c r="J269" s="8">
        <v>994</v>
      </c>
      <c r="K269" s="9">
        <v>59400</v>
      </c>
      <c r="L269" s="2">
        <v>243502</v>
      </c>
      <c r="M269" s="2" t="s">
        <v>31</v>
      </c>
    </row>
    <row r="270" spans="1:13" ht="14.25" customHeight="1">
      <c r="A270" s="2" t="s">
        <v>464</v>
      </c>
      <c r="B270" s="2" t="s">
        <v>14</v>
      </c>
      <c r="C270" s="3" t="s">
        <v>465</v>
      </c>
      <c r="D270" s="2" t="s">
        <v>28</v>
      </c>
      <c r="E270" s="2" t="s">
        <v>92</v>
      </c>
      <c r="F270" s="2"/>
      <c r="G270" s="8">
        <v>8469</v>
      </c>
      <c r="H270" s="8">
        <v>935</v>
      </c>
      <c r="I270" s="8">
        <v>211</v>
      </c>
      <c r="J270" s="8">
        <v>2635</v>
      </c>
      <c r="K270" s="9">
        <v>21890</v>
      </c>
      <c r="L270" s="2">
        <v>184539</v>
      </c>
      <c r="M270" s="2" t="s">
        <v>62</v>
      </c>
    </row>
    <row r="271" spans="1:13" ht="14.25" customHeight="1">
      <c r="A271" s="2" t="s">
        <v>466</v>
      </c>
      <c r="B271" s="2" t="s">
        <v>14</v>
      </c>
      <c r="C271" s="3" t="s">
        <v>365</v>
      </c>
      <c r="D271" s="2" t="s">
        <v>28</v>
      </c>
      <c r="E271" s="2" t="s">
        <v>22</v>
      </c>
      <c r="F271" s="2" t="s">
        <v>23</v>
      </c>
      <c r="G271" s="8">
        <v>11333</v>
      </c>
      <c r="H271" s="8">
        <v>920</v>
      </c>
      <c r="I271" s="8">
        <v>294</v>
      </c>
      <c r="J271" s="8">
        <v>606</v>
      </c>
      <c r="K271" s="9">
        <v>59490</v>
      </c>
      <c r="L271" s="2">
        <v>202082</v>
      </c>
      <c r="M271" s="2" t="s">
        <v>31</v>
      </c>
    </row>
    <row r="272" spans="1:13" ht="14.25" customHeight="1">
      <c r="A272" s="2" t="s">
        <v>467</v>
      </c>
      <c r="B272" s="2" t="s">
        <v>53</v>
      </c>
      <c r="C272" s="3" t="s">
        <v>468</v>
      </c>
      <c r="D272" s="2" t="s">
        <v>34</v>
      </c>
      <c r="E272" s="2" t="s">
        <v>29</v>
      </c>
      <c r="F272" s="2" t="s">
        <v>30</v>
      </c>
      <c r="G272" s="8">
        <v>18608</v>
      </c>
      <c r="H272" s="8">
        <v>1338</v>
      </c>
      <c r="I272" s="8">
        <v>365</v>
      </c>
      <c r="J272" s="8">
        <v>2289</v>
      </c>
      <c r="K272" s="9">
        <v>20785</v>
      </c>
      <c r="L272" s="2">
        <v>161999</v>
      </c>
      <c r="M272" s="2" t="s">
        <v>19</v>
      </c>
    </row>
    <row r="273" spans="1:13" ht="14.25" customHeight="1">
      <c r="A273" s="2" t="s">
        <v>469</v>
      </c>
      <c r="B273" s="2" t="s">
        <v>21</v>
      </c>
      <c r="C273" s="3" t="s">
        <v>470</v>
      </c>
      <c r="D273" s="2" t="s">
        <v>28</v>
      </c>
      <c r="E273" s="2" t="s">
        <v>77</v>
      </c>
      <c r="F273" s="2" t="s">
        <v>40</v>
      </c>
      <c r="G273" s="8">
        <v>14819</v>
      </c>
      <c r="H273" s="8">
        <v>1432</v>
      </c>
      <c r="I273" s="8">
        <v>152</v>
      </c>
      <c r="J273" s="8">
        <v>961</v>
      </c>
      <c r="K273" s="9">
        <v>39154</v>
      </c>
      <c r="L273" s="2">
        <v>154793</v>
      </c>
      <c r="M273" s="2" t="s">
        <v>37</v>
      </c>
    </row>
    <row r="274" spans="1:13" ht="14.25" customHeight="1">
      <c r="A274" s="2" t="s">
        <v>471</v>
      </c>
      <c r="B274" s="2" t="s">
        <v>21</v>
      </c>
      <c r="C274" s="3" t="s">
        <v>472</v>
      </c>
      <c r="D274" s="2" t="s">
        <v>16</v>
      </c>
      <c r="E274" s="2" t="s">
        <v>176</v>
      </c>
      <c r="F274" s="2" t="s">
        <v>177</v>
      </c>
      <c r="G274" s="8">
        <v>6208</v>
      </c>
      <c r="H274" s="8">
        <v>725</v>
      </c>
      <c r="I274" s="8">
        <v>309</v>
      </c>
      <c r="J274" s="8">
        <v>848</v>
      </c>
      <c r="K274" s="9">
        <v>39319</v>
      </c>
      <c r="L274" s="2">
        <v>225763</v>
      </c>
      <c r="M274" s="2" t="s">
        <v>19</v>
      </c>
    </row>
    <row r="275" spans="1:13" ht="14.25" customHeight="1">
      <c r="A275" s="2" t="s">
        <v>473</v>
      </c>
      <c r="B275" s="2" t="s">
        <v>21</v>
      </c>
      <c r="C275" s="3" t="s">
        <v>292</v>
      </c>
      <c r="D275" s="2" t="s">
        <v>34</v>
      </c>
      <c r="E275" s="2" t="s">
        <v>44</v>
      </c>
      <c r="F275" s="2" t="s">
        <v>45</v>
      </c>
      <c r="G275" s="8">
        <v>8283</v>
      </c>
      <c r="H275" s="8">
        <v>720</v>
      </c>
      <c r="I275" s="8">
        <v>888</v>
      </c>
      <c r="J275" s="8">
        <v>611</v>
      </c>
      <c r="K275" s="9">
        <v>52791</v>
      </c>
      <c r="L275" s="2">
        <v>235229</v>
      </c>
      <c r="M275" s="2" t="s">
        <v>19</v>
      </c>
    </row>
    <row r="276" spans="1:13" ht="14.25" customHeight="1">
      <c r="A276" s="2" t="s">
        <v>474</v>
      </c>
      <c r="B276" s="2" t="s">
        <v>26</v>
      </c>
      <c r="C276" s="3" t="s">
        <v>445</v>
      </c>
      <c r="D276" s="2" t="s">
        <v>28</v>
      </c>
      <c r="E276" s="2" t="s">
        <v>48</v>
      </c>
      <c r="F276" s="2" t="s">
        <v>49</v>
      </c>
      <c r="G276" s="8">
        <v>4048</v>
      </c>
      <c r="H276" s="8">
        <v>751</v>
      </c>
      <c r="I276" s="8">
        <v>930</v>
      </c>
      <c r="J276" s="8">
        <v>1382</v>
      </c>
      <c r="K276" s="9">
        <v>16844</v>
      </c>
      <c r="L276" s="2">
        <v>148177</v>
      </c>
      <c r="M276" s="2" t="s">
        <v>37</v>
      </c>
    </row>
    <row r="277" spans="1:13" ht="14.25" customHeight="1">
      <c r="A277" s="2" t="s">
        <v>475</v>
      </c>
      <c r="B277" s="2" t="s">
        <v>21</v>
      </c>
      <c r="C277" s="3" t="s">
        <v>476</v>
      </c>
      <c r="D277" s="2" t="s">
        <v>34</v>
      </c>
      <c r="E277" s="2" t="s">
        <v>35</v>
      </c>
      <c r="F277" s="2" t="s">
        <v>36</v>
      </c>
      <c r="G277" s="8">
        <v>8233</v>
      </c>
      <c r="H277" s="8">
        <v>436</v>
      </c>
      <c r="I277" s="8">
        <v>269</v>
      </c>
      <c r="J277" s="8">
        <v>2037</v>
      </c>
      <c r="K277" s="9">
        <v>8875</v>
      </c>
      <c r="L277" s="2">
        <v>52289</v>
      </c>
      <c r="M277" s="2" t="s">
        <v>19</v>
      </c>
    </row>
    <row r="278" spans="1:13" ht="14.25" customHeight="1">
      <c r="A278" s="2" t="s">
        <v>477</v>
      </c>
      <c r="B278" s="2" t="s">
        <v>26</v>
      </c>
      <c r="C278" s="3" t="s">
        <v>251</v>
      </c>
      <c r="D278" s="2" t="s">
        <v>16</v>
      </c>
      <c r="E278" s="2" t="s">
        <v>92</v>
      </c>
      <c r="F278" s="2"/>
      <c r="G278" s="8">
        <v>14941</v>
      </c>
      <c r="H278" s="8">
        <v>1424</v>
      </c>
      <c r="I278" s="8">
        <v>238</v>
      </c>
      <c r="J278" s="8">
        <v>1054</v>
      </c>
      <c r="K278" s="9">
        <v>20516</v>
      </c>
      <c r="L278" s="2">
        <v>216048</v>
      </c>
      <c r="M278" s="2" t="s">
        <v>62</v>
      </c>
    </row>
    <row r="279" spans="1:13" ht="14.25" customHeight="1">
      <c r="A279" s="2" t="s">
        <v>478</v>
      </c>
      <c r="B279" s="2" t="s">
        <v>53</v>
      </c>
      <c r="C279" s="3" t="s">
        <v>479</v>
      </c>
      <c r="D279" s="2" t="s">
        <v>34</v>
      </c>
      <c r="E279" s="2" t="s">
        <v>44</v>
      </c>
      <c r="F279" s="2" t="s">
        <v>45</v>
      </c>
      <c r="G279" s="8">
        <v>14607</v>
      </c>
      <c r="H279" s="8">
        <v>1458</v>
      </c>
      <c r="I279" s="8">
        <v>478</v>
      </c>
      <c r="J279" s="8">
        <v>334</v>
      </c>
      <c r="K279" s="9">
        <v>49257</v>
      </c>
      <c r="L279" s="2">
        <v>214668</v>
      </c>
      <c r="M279" s="2" t="s">
        <v>37</v>
      </c>
    </row>
    <row r="280" spans="1:13" ht="14.25" customHeight="1">
      <c r="A280" s="2" t="s">
        <v>480</v>
      </c>
      <c r="B280" s="2" t="s">
        <v>26</v>
      </c>
      <c r="C280" s="3" t="s">
        <v>163</v>
      </c>
      <c r="D280" s="2" t="s">
        <v>34</v>
      </c>
      <c r="E280" s="2" t="s">
        <v>35</v>
      </c>
      <c r="F280" s="2" t="s">
        <v>36</v>
      </c>
      <c r="G280" s="8">
        <v>11765</v>
      </c>
      <c r="H280" s="8">
        <v>693</v>
      </c>
      <c r="I280" s="8">
        <v>729</v>
      </c>
      <c r="J280" s="8">
        <v>744</v>
      </c>
      <c r="K280" s="9">
        <v>97772</v>
      </c>
      <c r="L280" s="2">
        <v>194243</v>
      </c>
      <c r="M280" s="2" t="s">
        <v>19</v>
      </c>
    </row>
    <row r="281" spans="1:13" ht="14.25" customHeight="1">
      <c r="A281" s="2" t="s">
        <v>481</v>
      </c>
      <c r="B281" s="2" t="s">
        <v>53</v>
      </c>
      <c r="C281" s="4">
        <v>45918</v>
      </c>
      <c r="D281" s="2" t="s">
        <v>34</v>
      </c>
      <c r="E281" s="2" t="s">
        <v>44</v>
      </c>
      <c r="F281" s="2" t="s">
        <v>45</v>
      </c>
      <c r="G281" s="8">
        <v>3828</v>
      </c>
      <c r="H281" s="8">
        <v>203</v>
      </c>
      <c r="I281" s="8">
        <v>506</v>
      </c>
      <c r="J281" s="8">
        <v>2440</v>
      </c>
      <c r="K281" s="9">
        <v>63650</v>
      </c>
      <c r="L281" s="2">
        <v>126365</v>
      </c>
      <c r="M281" s="2" t="s">
        <v>24</v>
      </c>
    </row>
    <row r="282" spans="1:13" ht="14.25" customHeight="1">
      <c r="A282" s="2" t="s">
        <v>482</v>
      </c>
      <c r="B282" s="2" t="s">
        <v>21</v>
      </c>
      <c r="C282" s="3" t="s">
        <v>483</v>
      </c>
      <c r="D282" s="2" t="s">
        <v>34</v>
      </c>
      <c r="E282" s="2" t="s">
        <v>35</v>
      </c>
      <c r="F282" s="2" t="s">
        <v>69</v>
      </c>
      <c r="G282" s="8">
        <v>3917</v>
      </c>
      <c r="H282" s="8">
        <v>865</v>
      </c>
      <c r="I282" s="8">
        <v>759</v>
      </c>
      <c r="J282" s="8">
        <v>2282</v>
      </c>
      <c r="K282" s="9">
        <v>56125</v>
      </c>
      <c r="L282" s="2">
        <v>154014</v>
      </c>
      <c r="M282" s="2" t="s">
        <v>19</v>
      </c>
    </row>
    <row r="283" spans="1:13" ht="14.25" customHeight="1">
      <c r="A283" s="2" t="s">
        <v>484</v>
      </c>
      <c r="B283" s="2" t="s">
        <v>21</v>
      </c>
      <c r="C283" s="3" t="s">
        <v>485</v>
      </c>
      <c r="D283" s="2" t="s">
        <v>16</v>
      </c>
      <c r="E283" s="2" t="s">
        <v>35</v>
      </c>
      <c r="F283" s="2" t="s">
        <v>36</v>
      </c>
      <c r="G283" s="8">
        <v>22618</v>
      </c>
      <c r="H283" s="8">
        <v>641</v>
      </c>
      <c r="I283" s="8">
        <v>416</v>
      </c>
      <c r="J283" s="8">
        <v>1530</v>
      </c>
      <c r="K283" s="9">
        <v>18395</v>
      </c>
      <c r="L283" s="2">
        <v>215211</v>
      </c>
      <c r="M283" s="2" t="s">
        <v>62</v>
      </c>
    </row>
    <row r="284" spans="1:13" ht="14.25" customHeight="1">
      <c r="A284" s="2" t="s">
        <v>486</v>
      </c>
      <c r="B284" s="2" t="s">
        <v>53</v>
      </c>
      <c r="C284" s="3" t="s">
        <v>487</v>
      </c>
      <c r="D284" s="2" t="s">
        <v>43</v>
      </c>
      <c r="E284" s="2" t="s">
        <v>48</v>
      </c>
      <c r="F284" s="2" t="s">
        <v>49</v>
      </c>
      <c r="G284" s="8">
        <v>8988</v>
      </c>
      <c r="H284" s="8">
        <v>228</v>
      </c>
      <c r="I284" s="8">
        <v>766</v>
      </c>
      <c r="J284" s="8">
        <v>652</v>
      </c>
      <c r="K284" s="9">
        <v>63789</v>
      </c>
      <c r="L284" s="2">
        <v>219785</v>
      </c>
      <c r="M284" s="2" t="s">
        <v>31</v>
      </c>
    </row>
    <row r="285" spans="1:13" ht="14.25" customHeight="1">
      <c r="A285" s="2" t="s">
        <v>488</v>
      </c>
      <c r="B285" s="2" t="s">
        <v>14</v>
      </c>
      <c r="C285" s="3" t="s">
        <v>88</v>
      </c>
      <c r="D285" s="2" t="s">
        <v>34</v>
      </c>
      <c r="E285" s="2" t="s">
        <v>44</v>
      </c>
      <c r="F285" s="2" t="s">
        <v>45</v>
      </c>
      <c r="G285" s="8">
        <v>20410</v>
      </c>
      <c r="H285" s="8">
        <v>1332</v>
      </c>
      <c r="I285" s="8">
        <v>472</v>
      </c>
      <c r="J285" s="8">
        <v>1202</v>
      </c>
      <c r="K285" s="9">
        <v>9418</v>
      </c>
      <c r="L285" s="2">
        <v>200806</v>
      </c>
      <c r="M285" s="2" t="s">
        <v>19</v>
      </c>
    </row>
    <row r="286" spans="1:13" ht="14.25" customHeight="1">
      <c r="A286" s="2" t="s">
        <v>489</v>
      </c>
      <c r="B286" s="2" t="s">
        <v>53</v>
      </c>
      <c r="C286" s="3" t="s">
        <v>433</v>
      </c>
      <c r="D286" s="2" t="s">
        <v>34</v>
      </c>
      <c r="E286" s="2" t="s">
        <v>17</v>
      </c>
      <c r="F286" s="2" t="s">
        <v>18</v>
      </c>
      <c r="G286" s="8">
        <v>16594</v>
      </c>
      <c r="H286" s="8">
        <v>809</v>
      </c>
      <c r="I286" s="8">
        <v>784</v>
      </c>
      <c r="J286" s="8">
        <v>1655</v>
      </c>
      <c r="K286" s="9">
        <v>35505</v>
      </c>
      <c r="L286" s="2">
        <v>112588</v>
      </c>
      <c r="M286" s="2" t="s">
        <v>31</v>
      </c>
    </row>
    <row r="287" spans="1:13" ht="14.25" customHeight="1">
      <c r="A287" s="2" t="s">
        <v>490</v>
      </c>
      <c r="B287" s="2" t="s">
        <v>14</v>
      </c>
      <c r="C287" s="4">
        <v>45919</v>
      </c>
      <c r="D287" s="2" t="s">
        <v>28</v>
      </c>
      <c r="E287" s="2" t="s">
        <v>48</v>
      </c>
      <c r="F287" s="2" t="s">
        <v>49</v>
      </c>
      <c r="G287" s="8">
        <v>22128</v>
      </c>
      <c r="H287" s="8">
        <v>1004</v>
      </c>
      <c r="I287" s="8">
        <v>690</v>
      </c>
      <c r="J287" s="8">
        <v>2048</v>
      </c>
      <c r="K287" s="9">
        <v>19443</v>
      </c>
      <c r="L287" s="2">
        <v>103646</v>
      </c>
      <c r="M287" s="2" t="s">
        <v>24</v>
      </c>
    </row>
    <row r="288" spans="1:13" ht="14.25" customHeight="1">
      <c r="A288" s="2" t="s">
        <v>491</v>
      </c>
      <c r="B288" s="2" t="s">
        <v>26</v>
      </c>
      <c r="C288" s="3" t="s">
        <v>357</v>
      </c>
      <c r="D288" s="2" t="s">
        <v>34</v>
      </c>
      <c r="E288" s="2" t="s">
        <v>35</v>
      </c>
      <c r="F288" s="2" t="s">
        <v>36</v>
      </c>
      <c r="G288" s="8">
        <v>14977</v>
      </c>
      <c r="H288" s="8">
        <v>274</v>
      </c>
      <c r="I288" s="8">
        <v>798</v>
      </c>
      <c r="J288" s="8">
        <v>458</v>
      </c>
      <c r="K288" s="9">
        <v>6636</v>
      </c>
      <c r="L288" s="2">
        <v>43654</v>
      </c>
      <c r="M288" s="2" t="s">
        <v>19</v>
      </c>
    </row>
    <row r="289" spans="1:13" ht="14.25" customHeight="1">
      <c r="A289" s="2" t="s">
        <v>492</v>
      </c>
      <c r="B289" s="2" t="s">
        <v>26</v>
      </c>
      <c r="C289" s="3" t="s">
        <v>493</v>
      </c>
      <c r="D289" s="2" t="s">
        <v>28</v>
      </c>
      <c r="E289" s="2" t="s">
        <v>48</v>
      </c>
      <c r="F289" s="2" t="s">
        <v>49</v>
      </c>
      <c r="G289" s="8">
        <v>2009</v>
      </c>
      <c r="H289" s="8">
        <v>1037</v>
      </c>
      <c r="I289" s="8">
        <v>344</v>
      </c>
      <c r="J289" s="8">
        <v>2277</v>
      </c>
      <c r="K289" s="9">
        <v>85743</v>
      </c>
      <c r="L289" s="2">
        <v>58743</v>
      </c>
      <c r="M289" s="2" t="s">
        <v>37</v>
      </c>
    </row>
    <row r="290" spans="1:13" ht="14.25" customHeight="1">
      <c r="A290" s="2" t="s">
        <v>494</v>
      </c>
      <c r="B290" s="2" t="s">
        <v>26</v>
      </c>
      <c r="C290" s="3" t="s">
        <v>267</v>
      </c>
      <c r="D290" s="2" t="s">
        <v>43</v>
      </c>
      <c r="E290" s="2" t="s">
        <v>44</v>
      </c>
      <c r="F290" s="2" t="s">
        <v>45</v>
      </c>
      <c r="G290" s="8">
        <v>18644</v>
      </c>
      <c r="H290" s="8">
        <v>1369</v>
      </c>
      <c r="I290" s="8">
        <v>887</v>
      </c>
      <c r="J290" s="8">
        <v>1256</v>
      </c>
      <c r="K290" s="9">
        <v>43415</v>
      </c>
      <c r="L290" s="2">
        <v>88368</v>
      </c>
      <c r="M290" s="2" t="s">
        <v>31</v>
      </c>
    </row>
    <row r="291" spans="1:13" ht="14.25" customHeight="1">
      <c r="A291" s="2" t="s">
        <v>495</v>
      </c>
      <c r="B291" s="2" t="s">
        <v>21</v>
      </c>
      <c r="C291" s="4">
        <v>45920</v>
      </c>
      <c r="D291" s="2" t="s">
        <v>16</v>
      </c>
      <c r="E291" s="2" t="s">
        <v>40</v>
      </c>
      <c r="F291" s="2"/>
      <c r="G291" s="8">
        <v>24422</v>
      </c>
      <c r="H291" s="8">
        <v>327</v>
      </c>
      <c r="I291" s="8">
        <v>481</v>
      </c>
      <c r="J291" s="8">
        <v>2371</v>
      </c>
      <c r="K291" s="9">
        <v>35340</v>
      </c>
      <c r="L291" s="2">
        <v>245244</v>
      </c>
      <c r="M291" s="2" t="s">
        <v>24</v>
      </c>
    </row>
    <row r="292" spans="1:13" ht="14.25" customHeight="1">
      <c r="A292" s="2" t="s">
        <v>496</v>
      </c>
      <c r="B292" s="2" t="s">
        <v>26</v>
      </c>
      <c r="C292" s="3" t="s">
        <v>81</v>
      </c>
      <c r="D292" s="2" t="s">
        <v>16</v>
      </c>
      <c r="E292" s="2" t="s">
        <v>44</v>
      </c>
      <c r="F292" s="2" t="s">
        <v>45</v>
      </c>
      <c r="G292" s="8">
        <v>11865</v>
      </c>
      <c r="H292" s="8">
        <v>241</v>
      </c>
      <c r="I292" s="8">
        <v>319</v>
      </c>
      <c r="J292" s="8">
        <v>703</v>
      </c>
      <c r="K292" s="9">
        <v>69596</v>
      </c>
      <c r="L292" s="2">
        <v>177513</v>
      </c>
      <c r="M292" s="2" t="s">
        <v>37</v>
      </c>
    </row>
    <row r="293" spans="1:13" ht="14.25" customHeight="1">
      <c r="A293" s="2" t="s">
        <v>497</v>
      </c>
      <c r="B293" s="2" t="s">
        <v>14</v>
      </c>
      <c r="C293" s="3" t="s">
        <v>498</v>
      </c>
      <c r="D293" s="2" t="s">
        <v>43</v>
      </c>
      <c r="E293" s="2" t="s">
        <v>44</v>
      </c>
      <c r="F293" s="2" t="s">
        <v>45</v>
      </c>
      <c r="G293" s="8">
        <v>4219</v>
      </c>
      <c r="H293" s="8">
        <v>240</v>
      </c>
      <c r="I293" s="8">
        <v>670</v>
      </c>
      <c r="J293" s="8">
        <v>815</v>
      </c>
      <c r="K293" s="9">
        <v>11978</v>
      </c>
      <c r="L293" s="2">
        <v>159735</v>
      </c>
      <c r="M293" s="2" t="s">
        <v>37</v>
      </c>
    </row>
    <row r="294" spans="1:13" ht="14.25" customHeight="1">
      <c r="A294" s="2" t="s">
        <v>499</v>
      </c>
      <c r="B294" s="2" t="s">
        <v>26</v>
      </c>
      <c r="C294" s="3" t="s">
        <v>500</v>
      </c>
      <c r="D294" s="2" t="s">
        <v>16</v>
      </c>
      <c r="E294" s="2" t="s">
        <v>35</v>
      </c>
      <c r="F294" s="2" t="s">
        <v>69</v>
      </c>
      <c r="G294" s="8">
        <v>9041</v>
      </c>
      <c r="H294" s="8">
        <v>1133</v>
      </c>
      <c r="I294" s="8">
        <v>612</v>
      </c>
      <c r="J294" s="8">
        <v>1687</v>
      </c>
      <c r="K294" s="9">
        <v>28102</v>
      </c>
      <c r="L294" s="2">
        <v>195683</v>
      </c>
      <c r="M294" s="2" t="s">
        <v>37</v>
      </c>
    </row>
    <row r="295" spans="1:13" ht="14.25" customHeight="1">
      <c r="A295" s="2" t="s">
        <v>501</v>
      </c>
      <c r="B295" s="2" t="s">
        <v>53</v>
      </c>
      <c r="C295" s="3" t="s">
        <v>502</v>
      </c>
      <c r="D295" s="2" t="s">
        <v>43</v>
      </c>
      <c r="E295" s="2" t="s">
        <v>77</v>
      </c>
      <c r="F295" s="2" t="s">
        <v>40</v>
      </c>
      <c r="G295" s="8">
        <v>20444</v>
      </c>
      <c r="H295" s="8">
        <v>233</v>
      </c>
      <c r="I295" s="8">
        <v>189</v>
      </c>
      <c r="J295" s="8">
        <v>2879</v>
      </c>
      <c r="K295" s="9">
        <v>28185</v>
      </c>
      <c r="L295" s="2">
        <v>159891</v>
      </c>
      <c r="M295" s="2" t="s">
        <v>37</v>
      </c>
    </row>
    <row r="296" spans="1:13" ht="14.25" customHeight="1">
      <c r="A296" s="2" t="s">
        <v>503</v>
      </c>
      <c r="B296" s="2" t="s">
        <v>53</v>
      </c>
      <c r="C296" s="3" t="s">
        <v>504</v>
      </c>
      <c r="D296" s="2" t="s">
        <v>43</v>
      </c>
      <c r="E296" s="2" t="s">
        <v>17</v>
      </c>
      <c r="F296" s="2" t="s">
        <v>18</v>
      </c>
      <c r="G296" s="8">
        <v>7287</v>
      </c>
      <c r="H296" s="8">
        <v>1240</v>
      </c>
      <c r="I296" s="8">
        <v>686</v>
      </c>
      <c r="J296" s="8">
        <v>1255</v>
      </c>
      <c r="K296" s="9">
        <v>15403</v>
      </c>
      <c r="L296" s="2">
        <v>147971</v>
      </c>
      <c r="M296" s="2" t="s">
        <v>19</v>
      </c>
    </row>
    <row r="297" spans="1:13" ht="14.25" customHeight="1">
      <c r="A297" s="2" t="s">
        <v>505</v>
      </c>
      <c r="B297" s="2" t="s">
        <v>21</v>
      </c>
      <c r="C297" s="3" t="s">
        <v>506</v>
      </c>
      <c r="D297" s="2" t="s">
        <v>43</v>
      </c>
      <c r="E297" s="2" t="s">
        <v>176</v>
      </c>
      <c r="F297" s="2" t="s">
        <v>177</v>
      </c>
      <c r="G297" s="8">
        <v>3619</v>
      </c>
      <c r="H297" s="8">
        <v>1376</v>
      </c>
      <c r="I297" s="8">
        <v>410</v>
      </c>
      <c r="J297" s="8">
        <v>2499</v>
      </c>
      <c r="K297" s="9">
        <v>58146</v>
      </c>
      <c r="L297" s="2">
        <v>52149</v>
      </c>
      <c r="M297" s="2" t="s">
        <v>19</v>
      </c>
    </row>
    <row r="298" spans="1:13" ht="14.25" customHeight="1">
      <c r="A298" s="2" t="s">
        <v>507</v>
      </c>
      <c r="B298" s="2" t="s">
        <v>53</v>
      </c>
      <c r="C298" s="3" t="s">
        <v>508</v>
      </c>
      <c r="D298" s="2" t="s">
        <v>16</v>
      </c>
      <c r="E298" s="2" t="s">
        <v>92</v>
      </c>
      <c r="F298" s="2"/>
      <c r="G298" s="8">
        <v>10512</v>
      </c>
      <c r="H298" s="8">
        <v>1197</v>
      </c>
      <c r="I298" s="8">
        <v>544</v>
      </c>
      <c r="J298" s="8">
        <v>2012</v>
      </c>
      <c r="K298" s="9">
        <v>10245</v>
      </c>
      <c r="L298" s="2">
        <v>140102</v>
      </c>
      <c r="M298" s="2" t="s">
        <v>19</v>
      </c>
    </row>
    <row r="299" spans="1:13" ht="14.25" customHeight="1">
      <c r="A299" s="2" t="s">
        <v>509</v>
      </c>
      <c r="B299" s="2" t="s">
        <v>14</v>
      </c>
      <c r="C299" s="5">
        <v>45924</v>
      </c>
      <c r="D299" s="2" t="s">
        <v>28</v>
      </c>
      <c r="E299" s="2" t="s">
        <v>55</v>
      </c>
      <c r="F299" s="2" t="s">
        <v>35</v>
      </c>
      <c r="G299" s="8">
        <v>3342</v>
      </c>
      <c r="H299" s="8">
        <v>787</v>
      </c>
      <c r="I299" s="8">
        <v>375</v>
      </c>
      <c r="J299" s="8">
        <v>907</v>
      </c>
      <c r="K299" s="9">
        <v>85823</v>
      </c>
      <c r="L299" s="2">
        <v>99189</v>
      </c>
      <c r="M299" s="2" t="s">
        <v>24</v>
      </c>
    </row>
    <row r="300" spans="1:13" ht="14.25" customHeight="1">
      <c r="A300" s="2" t="s">
        <v>510</v>
      </c>
      <c r="B300" s="2" t="s">
        <v>26</v>
      </c>
      <c r="C300" s="5">
        <v>45925</v>
      </c>
      <c r="D300" s="2" t="s">
        <v>43</v>
      </c>
      <c r="E300" s="2" t="s">
        <v>77</v>
      </c>
      <c r="F300" s="2" t="s">
        <v>40</v>
      </c>
      <c r="G300" s="8">
        <v>12568</v>
      </c>
      <c r="H300" s="8">
        <v>541</v>
      </c>
      <c r="I300" s="8">
        <v>273</v>
      </c>
      <c r="J300" s="8">
        <v>2767</v>
      </c>
      <c r="K300" s="9">
        <v>22331</v>
      </c>
      <c r="L300" s="2">
        <v>192747</v>
      </c>
      <c r="M300" s="2" t="s">
        <v>24</v>
      </c>
    </row>
    <row r="301" spans="1:13" ht="14.25" customHeight="1">
      <c r="A301" s="2" t="s">
        <v>511</v>
      </c>
      <c r="B301" s="2" t="s">
        <v>21</v>
      </c>
      <c r="C301" s="5">
        <v>45926</v>
      </c>
      <c r="D301" s="2" t="s">
        <v>34</v>
      </c>
      <c r="E301" s="2" t="s">
        <v>55</v>
      </c>
      <c r="F301" s="2" t="s">
        <v>35</v>
      </c>
      <c r="G301" s="8">
        <v>21216</v>
      </c>
      <c r="H301" s="8">
        <v>226</v>
      </c>
      <c r="I301" s="8">
        <v>187</v>
      </c>
      <c r="J301" s="8">
        <v>1573</v>
      </c>
      <c r="K301" s="9">
        <v>62688</v>
      </c>
      <c r="L301" s="2">
        <v>111031</v>
      </c>
      <c r="M301" s="2" t="s">
        <v>24</v>
      </c>
    </row>
    <row r="302" spans="1:13" ht="14.25" customHeight="1">
      <c r="K302" s="1"/>
    </row>
    <row r="303" spans="1:13" ht="14.25" customHeight="1">
      <c r="K303" s="1"/>
    </row>
    <row r="304" spans="1:13" ht="14.25" customHeight="1">
      <c r="K304" s="1"/>
    </row>
    <row r="305" spans="11:11" ht="14.25" customHeight="1">
      <c r="K305" s="1"/>
    </row>
    <row r="306" spans="11:11" ht="14.25" customHeight="1">
      <c r="K306" s="1"/>
    </row>
    <row r="307" spans="11:11" ht="14.25" customHeight="1">
      <c r="K307" s="1"/>
    </row>
    <row r="308" spans="11:11" ht="14.25" customHeight="1">
      <c r="K308" s="1"/>
    </row>
    <row r="309" spans="11:11" ht="14.25" customHeight="1">
      <c r="K309" s="1"/>
    </row>
    <row r="310" spans="11:11" ht="14.25" customHeight="1">
      <c r="K310" s="1"/>
    </row>
    <row r="311" spans="11:11" ht="14.25" customHeight="1">
      <c r="K311" s="1"/>
    </row>
    <row r="312" spans="11:11" ht="14.25" customHeight="1">
      <c r="K312" s="1"/>
    </row>
    <row r="313" spans="11:11" ht="14.25" customHeight="1">
      <c r="K313" s="1"/>
    </row>
    <row r="314" spans="11:11" ht="14.25" customHeight="1">
      <c r="K314" s="1"/>
    </row>
    <row r="315" spans="11:11" ht="14.25" customHeight="1">
      <c r="K315" s="1"/>
    </row>
    <row r="316" spans="11:11" ht="14.25" customHeight="1">
      <c r="K316" s="1"/>
    </row>
    <row r="317" spans="11:11" ht="14.25" customHeight="1">
      <c r="K317" s="1"/>
    </row>
    <row r="318" spans="11:11" ht="14.25" customHeight="1">
      <c r="K318" s="1"/>
    </row>
    <row r="319" spans="11:11" ht="14.25" customHeight="1">
      <c r="K319" s="1"/>
    </row>
    <row r="320" spans="11:11" ht="14.25" customHeight="1">
      <c r="K320" s="1"/>
    </row>
    <row r="321" spans="11:11" ht="14.25" customHeight="1">
      <c r="K321" s="1"/>
    </row>
    <row r="322" spans="11:11" ht="14.25" customHeight="1">
      <c r="K322" s="1"/>
    </row>
    <row r="323" spans="11:11" ht="14.25" customHeight="1">
      <c r="K323" s="1"/>
    </row>
    <row r="324" spans="11:11" ht="14.25" customHeight="1">
      <c r="K324" s="1"/>
    </row>
    <row r="325" spans="11:11" ht="14.25" customHeight="1">
      <c r="K325" s="1"/>
    </row>
    <row r="326" spans="11:11" ht="14.25" customHeight="1">
      <c r="K326" s="1"/>
    </row>
    <row r="327" spans="11:11" ht="14.25" customHeight="1">
      <c r="K327" s="1"/>
    </row>
    <row r="328" spans="11:11" ht="14.25" customHeight="1">
      <c r="K328" s="1"/>
    </row>
    <row r="329" spans="11:11" ht="14.25" customHeight="1">
      <c r="K329" s="1"/>
    </row>
    <row r="330" spans="11:11" ht="14.25" customHeight="1">
      <c r="K330" s="1"/>
    </row>
    <row r="331" spans="11:11" ht="14.25" customHeight="1">
      <c r="K331" s="1"/>
    </row>
    <row r="332" spans="11:11" ht="14.25" customHeight="1">
      <c r="K332" s="1"/>
    </row>
    <row r="333" spans="11:11" ht="14.25" customHeight="1">
      <c r="K333" s="1"/>
    </row>
    <row r="334" spans="11:11" ht="14.25" customHeight="1">
      <c r="K334" s="1"/>
    </row>
    <row r="335" spans="11:11" ht="14.25" customHeight="1">
      <c r="K335" s="1"/>
    </row>
    <row r="336" spans="11:11" ht="14.25" customHeight="1">
      <c r="K336" s="1"/>
    </row>
    <row r="337" spans="11:11" ht="14.25" customHeight="1">
      <c r="K337" s="1"/>
    </row>
    <row r="338" spans="11:11" ht="14.25" customHeight="1">
      <c r="K338" s="1"/>
    </row>
    <row r="339" spans="11:11" ht="14.25" customHeight="1">
      <c r="K339" s="1"/>
    </row>
    <row r="340" spans="11:11" ht="14.25" customHeight="1">
      <c r="K340" s="1"/>
    </row>
    <row r="341" spans="11:11" ht="14.25" customHeight="1">
      <c r="K341" s="1"/>
    </row>
    <row r="342" spans="11:11" ht="14.25" customHeight="1">
      <c r="K342" s="1"/>
    </row>
    <row r="343" spans="11:11" ht="14.25" customHeight="1">
      <c r="K343" s="1"/>
    </row>
    <row r="344" spans="11:11" ht="14.25" customHeight="1">
      <c r="K344" s="1"/>
    </row>
    <row r="345" spans="11:11" ht="14.25" customHeight="1">
      <c r="K345" s="1"/>
    </row>
    <row r="346" spans="11:11" ht="14.25" customHeight="1">
      <c r="K346" s="1"/>
    </row>
    <row r="347" spans="11:11" ht="14.25" customHeight="1">
      <c r="K347" s="1"/>
    </row>
    <row r="348" spans="11:11" ht="14.25" customHeight="1">
      <c r="K348" s="1"/>
    </row>
    <row r="349" spans="11:11" ht="14.25" customHeight="1">
      <c r="K349" s="1"/>
    </row>
    <row r="350" spans="11:11" ht="14.25" customHeight="1">
      <c r="K350" s="1"/>
    </row>
    <row r="351" spans="11:11" ht="14.25" customHeight="1">
      <c r="K351" s="1"/>
    </row>
    <row r="352" spans="11:11" ht="14.25" customHeight="1">
      <c r="K352" s="1"/>
    </row>
    <row r="353" spans="11:11" ht="14.25" customHeight="1">
      <c r="K353" s="1"/>
    </row>
    <row r="354" spans="11:11" ht="14.25" customHeight="1">
      <c r="K354" s="1"/>
    </row>
    <row r="355" spans="11:11" ht="14.25" customHeight="1">
      <c r="K355" s="1"/>
    </row>
    <row r="356" spans="11:11" ht="14.25" customHeight="1">
      <c r="K356" s="1"/>
    </row>
    <row r="357" spans="11:11" ht="14.25" customHeight="1">
      <c r="K357" s="1"/>
    </row>
    <row r="358" spans="11:11" ht="14.25" customHeight="1">
      <c r="K358" s="1"/>
    </row>
    <row r="359" spans="11:11" ht="14.25" customHeight="1">
      <c r="K359" s="1"/>
    </row>
    <row r="360" spans="11:11" ht="14.25" customHeight="1">
      <c r="K360" s="1"/>
    </row>
    <row r="361" spans="11:11" ht="14.25" customHeight="1">
      <c r="K361" s="1"/>
    </row>
    <row r="362" spans="11:11" ht="14.25" customHeight="1">
      <c r="K362" s="1"/>
    </row>
    <row r="363" spans="11:11" ht="14.25" customHeight="1">
      <c r="K363" s="1"/>
    </row>
    <row r="364" spans="11:11" ht="14.25" customHeight="1">
      <c r="K364" s="1"/>
    </row>
    <row r="365" spans="11:11" ht="14.25" customHeight="1">
      <c r="K365" s="1"/>
    </row>
    <row r="366" spans="11:11" ht="14.25" customHeight="1">
      <c r="K366" s="1"/>
    </row>
    <row r="367" spans="11:11" ht="14.25" customHeight="1">
      <c r="K367" s="1"/>
    </row>
    <row r="368" spans="11:11" ht="14.25" customHeight="1">
      <c r="K368" s="1"/>
    </row>
    <row r="369" spans="11:11" ht="14.25" customHeight="1">
      <c r="K369" s="1"/>
    </row>
    <row r="370" spans="11:11" ht="14.25" customHeight="1">
      <c r="K370" s="1"/>
    </row>
    <row r="371" spans="11:11" ht="14.25" customHeight="1">
      <c r="K371" s="1"/>
    </row>
    <row r="372" spans="11:11" ht="14.25" customHeight="1">
      <c r="K372" s="1"/>
    </row>
    <row r="373" spans="11:11" ht="14.25" customHeight="1">
      <c r="K373" s="1"/>
    </row>
    <row r="374" spans="11:11" ht="14.25" customHeight="1">
      <c r="K374" s="1"/>
    </row>
    <row r="375" spans="11:11" ht="14.25" customHeight="1">
      <c r="K375" s="1"/>
    </row>
    <row r="376" spans="11:11" ht="14.25" customHeight="1">
      <c r="K376" s="1"/>
    </row>
    <row r="377" spans="11:11" ht="14.25" customHeight="1">
      <c r="K377" s="1"/>
    </row>
    <row r="378" spans="11:11" ht="14.25" customHeight="1">
      <c r="K378" s="1"/>
    </row>
    <row r="379" spans="11:11" ht="14.25" customHeight="1">
      <c r="K379" s="1"/>
    </row>
    <row r="380" spans="11:11" ht="14.25" customHeight="1">
      <c r="K380" s="1"/>
    </row>
    <row r="381" spans="11:11" ht="14.25" customHeight="1">
      <c r="K381" s="1"/>
    </row>
    <row r="382" spans="11:11" ht="14.25" customHeight="1">
      <c r="K382" s="1"/>
    </row>
    <row r="383" spans="11:11" ht="14.25" customHeight="1">
      <c r="K383" s="1"/>
    </row>
    <row r="384" spans="11:11" ht="14.25" customHeight="1">
      <c r="K384" s="1"/>
    </row>
    <row r="385" spans="11:11" ht="14.25" customHeight="1">
      <c r="K385" s="1"/>
    </row>
    <row r="386" spans="11:11" ht="14.25" customHeight="1">
      <c r="K386" s="1"/>
    </row>
    <row r="387" spans="11:11" ht="14.25" customHeight="1">
      <c r="K387" s="1"/>
    </row>
    <row r="388" spans="11:11" ht="14.25" customHeight="1">
      <c r="K388" s="1"/>
    </row>
    <row r="389" spans="11:11" ht="14.25" customHeight="1">
      <c r="K389" s="1"/>
    </row>
    <row r="390" spans="11:11" ht="14.25" customHeight="1">
      <c r="K390" s="1"/>
    </row>
    <row r="391" spans="11:11" ht="14.25" customHeight="1">
      <c r="K391" s="1"/>
    </row>
    <row r="392" spans="11:11" ht="14.25" customHeight="1">
      <c r="K392" s="1"/>
    </row>
    <row r="393" spans="11:11" ht="14.25" customHeight="1">
      <c r="K393" s="1"/>
    </row>
    <row r="394" spans="11:11" ht="14.25" customHeight="1">
      <c r="K394" s="1"/>
    </row>
    <row r="395" spans="11:11" ht="14.25" customHeight="1">
      <c r="K395" s="1"/>
    </row>
    <row r="396" spans="11:11" ht="14.25" customHeight="1">
      <c r="K396" s="1"/>
    </row>
    <row r="397" spans="11:11" ht="14.25" customHeight="1">
      <c r="K397" s="1"/>
    </row>
    <row r="398" spans="11:11" ht="14.25" customHeight="1">
      <c r="K398" s="1"/>
    </row>
    <row r="399" spans="11:11" ht="14.25" customHeight="1">
      <c r="K399" s="1"/>
    </row>
    <row r="400" spans="11:11" ht="14.25" customHeight="1">
      <c r="K400" s="1"/>
    </row>
    <row r="401" spans="11:11" ht="14.25" customHeight="1">
      <c r="K401" s="1"/>
    </row>
    <row r="402" spans="11:11" ht="14.25" customHeight="1">
      <c r="K402" s="1"/>
    </row>
    <row r="403" spans="11:11" ht="14.25" customHeight="1">
      <c r="K403" s="1"/>
    </row>
    <row r="404" spans="11:11" ht="14.25" customHeight="1">
      <c r="K404" s="1"/>
    </row>
    <row r="405" spans="11:11" ht="14.25" customHeight="1">
      <c r="K405" s="1"/>
    </row>
    <row r="406" spans="11:11" ht="14.25" customHeight="1">
      <c r="K406" s="1"/>
    </row>
    <row r="407" spans="11:11" ht="14.25" customHeight="1">
      <c r="K407" s="1"/>
    </row>
    <row r="408" spans="11:11" ht="14.25" customHeight="1">
      <c r="K408" s="1"/>
    </row>
    <row r="409" spans="11:11" ht="14.25" customHeight="1">
      <c r="K409" s="1"/>
    </row>
    <row r="410" spans="11:11" ht="14.25" customHeight="1">
      <c r="K410" s="1"/>
    </row>
    <row r="411" spans="11:11" ht="14.25" customHeight="1">
      <c r="K411" s="1"/>
    </row>
    <row r="412" spans="11:11" ht="14.25" customHeight="1">
      <c r="K412" s="1"/>
    </row>
    <row r="413" spans="11:11" ht="14.25" customHeight="1">
      <c r="K413" s="1"/>
    </row>
    <row r="414" spans="11:11" ht="14.25" customHeight="1">
      <c r="K414" s="1"/>
    </row>
    <row r="415" spans="11:11" ht="14.25" customHeight="1">
      <c r="K415" s="1"/>
    </row>
    <row r="416" spans="11:11" ht="14.25" customHeight="1">
      <c r="K416" s="1"/>
    </row>
    <row r="417" spans="11:11" ht="14.25" customHeight="1">
      <c r="K417" s="1"/>
    </row>
    <row r="418" spans="11:11" ht="14.25" customHeight="1">
      <c r="K418" s="1"/>
    </row>
    <row r="419" spans="11:11" ht="14.25" customHeight="1">
      <c r="K419" s="1"/>
    </row>
    <row r="420" spans="11:11" ht="14.25" customHeight="1">
      <c r="K420" s="1"/>
    </row>
    <row r="421" spans="11:11" ht="14.25" customHeight="1">
      <c r="K421" s="1"/>
    </row>
    <row r="422" spans="11:11" ht="14.25" customHeight="1">
      <c r="K422" s="1"/>
    </row>
    <row r="423" spans="11:11" ht="14.25" customHeight="1">
      <c r="K423" s="1"/>
    </row>
    <row r="424" spans="11:11" ht="14.25" customHeight="1">
      <c r="K424" s="1"/>
    </row>
    <row r="425" spans="11:11" ht="14.25" customHeight="1">
      <c r="K425" s="1"/>
    </row>
    <row r="426" spans="11:11" ht="14.25" customHeight="1">
      <c r="K426" s="1"/>
    </row>
    <row r="427" spans="11:11" ht="14.25" customHeight="1">
      <c r="K427" s="1"/>
    </row>
    <row r="428" spans="11:11" ht="14.25" customHeight="1">
      <c r="K428" s="1"/>
    </row>
    <row r="429" spans="11:11" ht="14.25" customHeight="1">
      <c r="K429" s="1"/>
    </row>
    <row r="430" spans="11:11" ht="14.25" customHeight="1">
      <c r="K430" s="1"/>
    </row>
    <row r="431" spans="11:11" ht="14.25" customHeight="1">
      <c r="K431" s="1"/>
    </row>
    <row r="432" spans="11:11" ht="14.25" customHeight="1">
      <c r="K432" s="1"/>
    </row>
    <row r="433" spans="11:11" ht="14.25" customHeight="1">
      <c r="K433" s="1"/>
    </row>
    <row r="434" spans="11:11" ht="14.25" customHeight="1">
      <c r="K434" s="1"/>
    </row>
    <row r="435" spans="11:11" ht="14.25" customHeight="1">
      <c r="K435" s="1"/>
    </row>
    <row r="436" spans="11:11" ht="14.25" customHeight="1">
      <c r="K436" s="1"/>
    </row>
    <row r="437" spans="11:11" ht="14.25" customHeight="1">
      <c r="K437" s="1"/>
    </row>
    <row r="438" spans="11:11" ht="14.25" customHeight="1">
      <c r="K438" s="1"/>
    </row>
    <row r="439" spans="11:11" ht="14.25" customHeight="1">
      <c r="K439" s="1"/>
    </row>
    <row r="440" spans="11:11" ht="14.25" customHeight="1">
      <c r="K440" s="1"/>
    </row>
    <row r="441" spans="11:11" ht="14.25" customHeight="1">
      <c r="K441" s="1"/>
    </row>
    <row r="442" spans="11:11" ht="14.25" customHeight="1">
      <c r="K442" s="1"/>
    </row>
    <row r="443" spans="11:11" ht="14.25" customHeight="1">
      <c r="K443" s="1"/>
    </row>
    <row r="444" spans="11:11" ht="14.25" customHeight="1">
      <c r="K444" s="1"/>
    </row>
    <row r="445" spans="11:11" ht="14.25" customHeight="1">
      <c r="K445" s="1"/>
    </row>
    <row r="446" spans="11:11" ht="14.25" customHeight="1">
      <c r="K446" s="1"/>
    </row>
    <row r="447" spans="11:11" ht="14.25" customHeight="1">
      <c r="K447" s="1"/>
    </row>
    <row r="448" spans="11:11" ht="14.25" customHeight="1">
      <c r="K448" s="1"/>
    </row>
    <row r="449" spans="11:11" ht="14.25" customHeight="1">
      <c r="K449" s="1"/>
    </row>
    <row r="450" spans="11:11" ht="14.25" customHeight="1">
      <c r="K450" s="1"/>
    </row>
    <row r="451" spans="11:11" ht="14.25" customHeight="1">
      <c r="K451" s="1"/>
    </row>
    <row r="452" spans="11:11" ht="14.25" customHeight="1">
      <c r="K452" s="1"/>
    </row>
    <row r="453" spans="11:11" ht="14.25" customHeight="1">
      <c r="K453" s="1"/>
    </row>
    <row r="454" spans="11:11" ht="14.25" customHeight="1">
      <c r="K454" s="1"/>
    </row>
    <row r="455" spans="11:11" ht="14.25" customHeight="1">
      <c r="K455" s="1"/>
    </row>
    <row r="456" spans="11:11" ht="14.25" customHeight="1">
      <c r="K456" s="1"/>
    </row>
    <row r="457" spans="11:11" ht="14.25" customHeight="1">
      <c r="K457" s="1"/>
    </row>
    <row r="458" spans="11:11" ht="14.25" customHeight="1">
      <c r="K458" s="1"/>
    </row>
    <row r="459" spans="11:11" ht="14.25" customHeight="1">
      <c r="K459" s="1"/>
    </row>
    <row r="460" spans="11:11" ht="14.25" customHeight="1">
      <c r="K460" s="1"/>
    </row>
    <row r="461" spans="11:11" ht="14.25" customHeight="1">
      <c r="K461" s="1"/>
    </row>
    <row r="462" spans="11:11" ht="14.25" customHeight="1">
      <c r="K462" s="1"/>
    </row>
    <row r="463" spans="11:11" ht="14.25" customHeight="1">
      <c r="K463" s="1"/>
    </row>
    <row r="464" spans="11:11" ht="14.25" customHeight="1">
      <c r="K464" s="1"/>
    </row>
    <row r="465" spans="11:11" ht="14.25" customHeight="1">
      <c r="K465" s="1"/>
    </row>
    <row r="466" spans="11:11" ht="14.25" customHeight="1">
      <c r="K466" s="1"/>
    </row>
    <row r="467" spans="11:11" ht="14.25" customHeight="1">
      <c r="K467" s="1"/>
    </row>
    <row r="468" spans="11:11" ht="14.25" customHeight="1">
      <c r="K468" s="1"/>
    </row>
    <row r="469" spans="11:11" ht="14.25" customHeight="1">
      <c r="K469" s="1"/>
    </row>
    <row r="470" spans="11:11" ht="14.25" customHeight="1">
      <c r="K470" s="1"/>
    </row>
    <row r="471" spans="11:11" ht="14.25" customHeight="1">
      <c r="K471" s="1"/>
    </row>
    <row r="472" spans="11:11" ht="14.25" customHeight="1">
      <c r="K472" s="1"/>
    </row>
    <row r="473" spans="11:11" ht="14.25" customHeight="1">
      <c r="K473" s="1"/>
    </row>
    <row r="474" spans="11:11" ht="14.25" customHeight="1">
      <c r="K474" s="1"/>
    </row>
    <row r="475" spans="11:11" ht="14.25" customHeight="1">
      <c r="K475" s="1"/>
    </row>
    <row r="476" spans="11:11" ht="14.25" customHeight="1">
      <c r="K476" s="1"/>
    </row>
    <row r="477" spans="11:11" ht="14.25" customHeight="1">
      <c r="K477" s="1"/>
    </row>
    <row r="478" spans="11:11" ht="14.25" customHeight="1">
      <c r="K478" s="1"/>
    </row>
    <row r="479" spans="11:11" ht="14.25" customHeight="1">
      <c r="K479" s="1"/>
    </row>
    <row r="480" spans="11:11" ht="14.25" customHeight="1">
      <c r="K480" s="1"/>
    </row>
    <row r="481" spans="11:11" ht="14.25" customHeight="1">
      <c r="K481" s="1"/>
    </row>
    <row r="482" spans="11:11" ht="14.25" customHeight="1">
      <c r="K482" s="1"/>
    </row>
    <row r="483" spans="11:11" ht="14.25" customHeight="1">
      <c r="K483" s="1"/>
    </row>
    <row r="484" spans="11:11" ht="14.25" customHeight="1">
      <c r="K484" s="1"/>
    </row>
    <row r="485" spans="11:11" ht="14.25" customHeight="1">
      <c r="K485" s="1"/>
    </row>
    <row r="486" spans="11:11" ht="14.25" customHeight="1">
      <c r="K486" s="1"/>
    </row>
    <row r="487" spans="11:11" ht="14.25" customHeight="1">
      <c r="K487" s="1"/>
    </row>
    <row r="488" spans="11:11" ht="14.25" customHeight="1">
      <c r="K488" s="1"/>
    </row>
    <row r="489" spans="11:11" ht="14.25" customHeight="1">
      <c r="K489" s="1"/>
    </row>
    <row r="490" spans="11:11" ht="14.25" customHeight="1">
      <c r="K490" s="1"/>
    </row>
    <row r="491" spans="11:11" ht="14.25" customHeight="1">
      <c r="K491" s="1"/>
    </row>
    <row r="492" spans="11:11" ht="14.25" customHeight="1">
      <c r="K492" s="1"/>
    </row>
    <row r="493" spans="11:11" ht="14.25" customHeight="1">
      <c r="K493" s="1"/>
    </row>
    <row r="494" spans="11:11" ht="14.25" customHeight="1">
      <c r="K494" s="1"/>
    </row>
    <row r="495" spans="11:11" ht="14.25" customHeight="1">
      <c r="K495" s="1"/>
    </row>
    <row r="496" spans="11:11" ht="14.25" customHeight="1">
      <c r="K496" s="1"/>
    </row>
    <row r="497" spans="11:11" ht="14.25" customHeight="1">
      <c r="K497" s="1"/>
    </row>
    <row r="498" spans="11:11" ht="14.25" customHeight="1">
      <c r="K498" s="1"/>
    </row>
    <row r="499" spans="11:11" ht="14.25" customHeight="1">
      <c r="K499" s="1"/>
    </row>
    <row r="500" spans="11:11" ht="14.25" customHeight="1">
      <c r="K500" s="1"/>
    </row>
    <row r="501" spans="11:11" ht="14.25" customHeight="1">
      <c r="K501" s="1"/>
    </row>
    <row r="502" spans="11:11" ht="14.25" customHeight="1"/>
    <row r="503" spans="11:11" ht="14.25" customHeight="1"/>
    <row r="504" spans="11:11" ht="14.25" customHeight="1"/>
    <row r="505" spans="11:11" ht="14.25" customHeight="1"/>
    <row r="506" spans="11:11" ht="14.25" customHeight="1"/>
    <row r="507" spans="11:11" ht="14.25" customHeight="1"/>
    <row r="508" spans="11:11" ht="14.25" customHeight="1"/>
    <row r="509" spans="11:11" ht="14.25" customHeight="1"/>
    <row r="510" spans="11:11" ht="14.25" customHeight="1"/>
    <row r="511" spans="11:11" ht="14.25" customHeight="1"/>
    <row r="512" spans="11:11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M301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282C-58B7-4B13-8EB2-1E1C0A2518FD}">
  <dimension ref="A1:O301"/>
  <sheetViews>
    <sheetView workbookViewId="0">
      <selection activeCell="H10" sqref="H10"/>
    </sheetView>
  </sheetViews>
  <sheetFormatPr defaultRowHeight="15"/>
  <cols>
    <col min="2" max="2" width="11.5703125" customWidth="1"/>
    <col min="3" max="3" width="14.28515625" customWidth="1"/>
    <col min="4" max="4" width="15.28515625" customWidth="1"/>
    <col min="5" max="5" width="31.28515625" customWidth="1"/>
    <col min="6" max="6" width="19.85546875" customWidth="1"/>
    <col min="7" max="7" width="17.5703125" customWidth="1"/>
    <col min="8" max="8" width="19.7109375" customWidth="1"/>
    <col min="11" max="11" width="13.7109375" customWidth="1"/>
    <col min="14" max="14" width="14.140625" customWidth="1"/>
    <col min="15" max="15" width="22.85546875" customWidth="1"/>
  </cols>
  <sheetData>
    <row r="1" spans="1:15">
      <c r="A1" s="6" t="s">
        <v>512</v>
      </c>
      <c r="B1" s="6" t="s">
        <v>1</v>
      </c>
      <c r="C1" s="6" t="s">
        <v>2</v>
      </c>
      <c r="D1" s="6" t="s">
        <v>3</v>
      </c>
      <c r="E1" s="6" t="s">
        <v>513</v>
      </c>
      <c r="F1" s="6" t="s">
        <v>4</v>
      </c>
      <c r="G1" s="6" t="s">
        <v>5</v>
      </c>
      <c r="H1" s="6" t="s">
        <v>514</v>
      </c>
      <c r="I1" s="6" t="s">
        <v>6</v>
      </c>
      <c r="J1" s="6" t="s">
        <v>7</v>
      </c>
      <c r="K1" s="6" t="s">
        <v>8</v>
      </c>
      <c r="L1" s="6" t="s">
        <v>9</v>
      </c>
      <c r="M1" s="7" t="s">
        <v>10</v>
      </c>
      <c r="N1" s="6" t="s">
        <v>11</v>
      </c>
      <c r="O1" s="6" t="s">
        <v>12</v>
      </c>
    </row>
    <row r="2" spans="1:15">
      <c r="A2" s="2" t="s">
        <v>13</v>
      </c>
      <c r="B2" s="2" t="s">
        <v>14</v>
      </c>
      <c r="C2" s="3" t="s">
        <v>15</v>
      </c>
      <c r="D2" s="2" t="s">
        <v>16</v>
      </c>
      <c r="E2" s="2" t="str">
        <f>CONCATENATE(F2,G2)</f>
        <v>#AppleWatchUltra2#HealthTech</v>
      </c>
      <c r="F2" s="2" t="s">
        <v>17</v>
      </c>
      <c r="G2" s="2" t="s">
        <v>18</v>
      </c>
      <c r="H2" s="2" t="str">
        <f>IF(F2&lt;&gt;"",F2,G2)</f>
        <v>#AppleWatchUltra2</v>
      </c>
      <c r="I2" s="8">
        <v>24516</v>
      </c>
      <c r="J2" s="8">
        <v>976</v>
      </c>
      <c r="K2" s="8">
        <v>974</v>
      </c>
      <c r="L2" s="8">
        <v>2675</v>
      </c>
      <c r="M2" s="9">
        <v>23275</v>
      </c>
      <c r="N2" s="2">
        <v>202932</v>
      </c>
      <c r="O2" s="2" t="s">
        <v>19</v>
      </c>
    </row>
    <row r="3" spans="1:15">
      <c r="A3" s="2" t="s">
        <v>20</v>
      </c>
      <c r="B3" s="2" t="s">
        <v>21</v>
      </c>
      <c r="C3" s="4">
        <v>45903</v>
      </c>
      <c r="D3" s="2" t="s">
        <v>16</v>
      </c>
      <c r="E3" s="2" t="str">
        <f t="shared" ref="E3:E66" si="0">CONCATENATE(F3,G3)</f>
        <v>#MacBookAirM3#AppleInnovation</v>
      </c>
      <c r="F3" s="2" t="s">
        <v>22</v>
      </c>
      <c r="G3" s="2" t="s">
        <v>23</v>
      </c>
      <c r="H3" s="2" t="str">
        <f t="shared" ref="H3:H66" si="1">IF(F3&lt;&gt;"",F3,G3)</f>
        <v>#MacBookAirM3</v>
      </c>
      <c r="I3" s="8">
        <v>4779</v>
      </c>
      <c r="J3" s="8">
        <v>1110</v>
      </c>
      <c r="K3" s="8">
        <v>436</v>
      </c>
      <c r="L3" s="8">
        <v>1574</v>
      </c>
      <c r="M3" s="9">
        <v>77167</v>
      </c>
      <c r="N3" s="2">
        <v>71585</v>
      </c>
      <c r="O3" s="2" t="s">
        <v>24</v>
      </c>
    </row>
    <row r="4" spans="1:15">
      <c r="A4" s="2" t="s">
        <v>25</v>
      </c>
      <c r="B4" s="2" t="s">
        <v>26</v>
      </c>
      <c r="C4" s="3" t="s">
        <v>27</v>
      </c>
      <c r="D4" s="2" t="s">
        <v>28</v>
      </c>
      <c r="E4" s="2" t="str">
        <f t="shared" si="0"/>
        <v>#AppleDesign#Innovation</v>
      </c>
      <c r="F4" s="2" t="s">
        <v>29</v>
      </c>
      <c r="G4" s="2" t="s">
        <v>30</v>
      </c>
      <c r="H4" s="2" t="str">
        <f t="shared" si="1"/>
        <v>#AppleDesign</v>
      </c>
      <c r="I4" s="8">
        <v>19308</v>
      </c>
      <c r="J4" s="8">
        <v>1318</v>
      </c>
      <c r="K4" s="8">
        <v>795</v>
      </c>
      <c r="L4" s="8">
        <v>1499</v>
      </c>
      <c r="M4" s="9">
        <v>52307</v>
      </c>
      <c r="N4" s="2">
        <v>193087</v>
      </c>
      <c r="O4" s="2" t="s">
        <v>31</v>
      </c>
    </row>
    <row r="5" spans="1:15">
      <c r="A5" s="2" t="s">
        <v>32</v>
      </c>
      <c r="B5" s="2" t="s">
        <v>14</v>
      </c>
      <c r="C5" s="3" t="s">
        <v>33</v>
      </c>
      <c r="D5" s="2" t="s">
        <v>34</v>
      </c>
      <c r="E5" s="2" t="str">
        <f t="shared" si="0"/>
        <v>#AppleEvent#iPadPro</v>
      </c>
      <c r="F5" s="2" t="s">
        <v>35</v>
      </c>
      <c r="G5" s="2" t="s">
        <v>36</v>
      </c>
      <c r="H5" s="2" t="str">
        <f t="shared" si="1"/>
        <v>#AppleEvent</v>
      </c>
      <c r="I5" s="8">
        <v>3581</v>
      </c>
      <c r="J5" s="8">
        <v>517</v>
      </c>
      <c r="K5" s="8">
        <v>880</v>
      </c>
      <c r="L5" s="8">
        <v>1925</v>
      </c>
      <c r="M5" s="9">
        <v>18636</v>
      </c>
      <c r="N5" s="2">
        <v>248611</v>
      </c>
      <c r="O5" s="2" t="s">
        <v>37</v>
      </c>
    </row>
    <row r="6" spans="1:15">
      <c r="A6" s="2" t="s">
        <v>38</v>
      </c>
      <c r="B6" s="2" t="s">
        <v>14</v>
      </c>
      <c r="C6" s="4">
        <v>45904</v>
      </c>
      <c r="D6" s="2" t="s">
        <v>34</v>
      </c>
      <c r="E6" s="2" t="str">
        <f t="shared" si="0"/>
        <v>#AppleWatchUltra2#HealthTech</v>
      </c>
      <c r="F6" s="2" t="s">
        <v>17</v>
      </c>
      <c r="G6" s="2" t="s">
        <v>18</v>
      </c>
      <c r="H6" s="2" t="str">
        <f t="shared" si="1"/>
        <v>#AppleWatchUltra2</v>
      </c>
      <c r="I6" s="8">
        <v>21708</v>
      </c>
      <c r="J6" s="8">
        <v>435</v>
      </c>
      <c r="K6" s="8">
        <v>317</v>
      </c>
      <c r="L6" s="8">
        <v>1213</v>
      </c>
      <c r="M6" s="9">
        <v>70701</v>
      </c>
      <c r="N6" s="2">
        <v>83585</v>
      </c>
      <c r="O6" s="2" t="s">
        <v>24</v>
      </c>
    </row>
    <row r="7" spans="1:15">
      <c r="A7" s="2" t="s">
        <v>39</v>
      </c>
      <c r="B7" s="2" t="s">
        <v>21</v>
      </c>
      <c r="C7" s="4">
        <v>45905</v>
      </c>
      <c r="D7" s="2" t="s">
        <v>16</v>
      </c>
      <c r="E7" s="2" t="str">
        <f t="shared" si="0"/>
        <v>#ShotOniPhone</v>
      </c>
      <c r="F7" s="2" t="s">
        <v>40</v>
      </c>
      <c r="G7" s="2"/>
      <c r="H7" s="2" t="str">
        <f t="shared" si="1"/>
        <v>#ShotOniPhone</v>
      </c>
      <c r="I7" s="8">
        <v>14677</v>
      </c>
      <c r="J7" s="8">
        <v>533</v>
      </c>
      <c r="K7" s="8">
        <v>759</v>
      </c>
      <c r="L7" s="8">
        <v>753</v>
      </c>
      <c r="M7" s="9">
        <v>23275</v>
      </c>
      <c r="N7" s="2">
        <v>66958</v>
      </c>
      <c r="O7" s="2" t="s">
        <v>24</v>
      </c>
    </row>
    <row r="8" spans="1:15">
      <c r="A8" s="2" t="s">
        <v>41</v>
      </c>
      <c r="B8" s="2" t="s">
        <v>26</v>
      </c>
      <c r="C8" s="3" t="s">
        <v>42</v>
      </c>
      <c r="D8" s="2" t="s">
        <v>43</v>
      </c>
      <c r="E8" s="2" t="str">
        <f t="shared" si="0"/>
        <v>#AppleMusic#AppleLifestyle</v>
      </c>
      <c r="F8" s="2" t="s">
        <v>44</v>
      </c>
      <c r="G8" s="2" t="s">
        <v>45</v>
      </c>
      <c r="H8" s="2" t="str">
        <f t="shared" si="1"/>
        <v>#AppleMusic</v>
      </c>
      <c r="I8" s="8">
        <v>7713</v>
      </c>
      <c r="J8" s="8">
        <v>575</v>
      </c>
      <c r="K8" s="8">
        <v>417</v>
      </c>
      <c r="L8" s="8">
        <v>336</v>
      </c>
      <c r="M8" s="9">
        <v>61660</v>
      </c>
      <c r="N8" s="2">
        <v>66017</v>
      </c>
      <c r="O8" s="2" t="s">
        <v>37</v>
      </c>
    </row>
    <row r="9" spans="1:15">
      <c r="A9" s="2" t="s">
        <v>46</v>
      </c>
      <c r="B9" s="2" t="s">
        <v>26</v>
      </c>
      <c r="C9" s="3" t="s">
        <v>47</v>
      </c>
      <c r="D9" s="2" t="s">
        <v>34</v>
      </c>
      <c r="E9" s="2" t="str">
        <f t="shared" si="0"/>
        <v>#AppleWatch#Health</v>
      </c>
      <c r="F9" s="2" t="s">
        <v>48</v>
      </c>
      <c r="G9" s="2" t="s">
        <v>49</v>
      </c>
      <c r="H9" s="2" t="str">
        <f t="shared" si="1"/>
        <v>#AppleWatch</v>
      </c>
      <c r="I9" s="8">
        <v>18639</v>
      </c>
      <c r="J9" s="8">
        <v>1360</v>
      </c>
      <c r="K9" s="8">
        <v>898</v>
      </c>
      <c r="L9" s="8">
        <v>2011</v>
      </c>
      <c r="M9" s="9">
        <v>42841</v>
      </c>
      <c r="N9" s="2">
        <v>247779</v>
      </c>
      <c r="O9" s="2" t="s">
        <v>37</v>
      </c>
    </row>
    <row r="10" spans="1:15">
      <c r="A10" s="2" t="s">
        <v>50</v>
      </c>
      <c r="B10" s="2" t="s">
        <v>14</v>
      </c>
      <c r="C10" s="3" t="s">
        <v>51</v>
      </c>
      <c r="D10" s="2" t="s">
        <v>43</v>
      </c>
      <c r="E10" s="2" t="str">
        <f t="shared" si="0"/>
        <v>#MacBookAirM3#AppleInnovation</v>
      </c>
      <c r="F10" s="2" t="s">
        <v>22</v>
      </c>
      <c r="G10" s="2" t="s">
        <v>23</v>
      </c>
      <c r="H10" s="2" t="str">
        <f t="shared" si="1"/>
        <v>#MacBookAirM3</v>
      </c>
      <c r="I10" s="8">
        <v>6804</v>
      </c>
      <c r="J10" s="8">
        <v>787</v>
      </c>
      <c r="K10" s="8">
        <v>970</v>
      </c>
      <c r="L10" s="8">
        <v>1095</v>
      </c>
      <c r="M10" s="9">
        <v>56343</v>
      </c>
      <c r="N10" s="2">
        <v>164677</v>
      </c>
      <c r="O10" s="2" t="s">
        <v>19</v>
      </c>
    </row>
    <row r="11" spans="1:15">
      <c r="A11" s="2" t="s">
        <v>52</v>
      </c>
      <c r="B11" s="2" t="s">
        <v>53</v>
      </c>
      <c r="C11" s="3" t="s">
        <v>54</v>
      </c>
      <c r="D11" s="2" t="s">
        <v>34</v>
      </c>
      <c r="E11" s="2" t="str">
        <f t="shared" si="0"/>
        <v>#iPhone16Launch#AppleEvent</v>
      </c>
      <c r="F11" s="2" t="s">
        <v>55</v>
      </c>
      <c r="G11" s="2" t="s">
        <v>35</v>
      </c>
      <c r="H11" s="2" t="str">
        <f t="shared" si="1"/>
        <v>#iPhone16Launch</v>
      </c>
      <c r="I11" s="8">
        <v>20222</v>
      </c>
      <c r="J11" s="8">
        <v>712</v>
      </c>
      <c r="K11" s="8">
        <v>604</v>
      </c>
      <c r="L11" s="8">
        <v>1272</v>
      </c>
      <c r="M11" s="9">
        <v>71598</v>
      </c>
      <c r="N11" s="2">
        <v>216422</v>
      </c>
      <c r="O11" s="2" t="s">
        <v>31</v>
      </c>
    </row>
    <row r="12" spans="1:15">
      <c r="A12" s="2" t="s">
        <v>56</v>
      </c>
      <c r="B12" s="2" t="s">
        <v>14</v>
      </c>
      <c r="C12" s="3" t="s">
        <v>57</v>
      </c>
      <c r="D12" s="2" t="s">
        <v>43</v>
      </c>
      <c r="E12" s="2" t="str">
        <f t="shared" si="0"/>
        <v>#AppleEvent#iPadPro</v>
      </c>
      <c r="F12" s="2" t="s">
        <v>35</v>
      </c>
      <c r="G12" s="2" t="s">
        <v>36</v>
      </c>
      <c r="H12" s="2" t="str">
        <f t="shared" si="1"/>
        <v>#AppleEvent</v>
      </c>
      <c r="I12" s="8">
        <v>12136</v>
      </c>
      <c r="J12" s="8">
        <v>1117</v>
      </c>
      <c r="K12" s="8">
        <v>834</v>
      </c>
      <c r="L12" s="8">
        <v>892</v>
      </c>
      <c r="M12" s="9">
        <v>24675</v>
      </c>
      <c r="N12" s="2">
        <v>183273</v>
      </c>
      <c r="O12" s="2" t="s">
        <v>31</v>
      </c>
    </row>
    <row r="13" spans="1:15">
      <c r="A13" s="2" t="s">
        <v>58</v>
      </c>
      <c r="B13" s="2" t="s">
        <v>14</v>
      </c>
      <c r="C13" s="3" t="s">
        <v>59</v>
      </c>
      <c r="D13" s="2" t="s">
        <v>28</v>
      </c>
      <c r="E13" s="2" t="str">
        <f t="shared" si="0"/>
        <v>#MacBookAirM3#AppleInnovation</v>
      </c>
      <c r="F13" s="2" t="s">
        <v>22</v>
      </c>
      <c r="G13" s="2" t="s">
        <v>23</v>
      </c>
      <c r="H13" s="2" t="str">
        <f t="shared" si="1"/>
        <v>#MacBookAirM3</v>
      </c>
      <c r="I13" s="8">
        <v>2009</v>
      </c>
      <c r="J13" s="8">
        <v>1072</v>
      </c>
      <c r="K13" s="8">
        <v>550</v>
      </c>
      <c r="L13" s="8">
        <v>1437</v>
      </c>
      <c r="M13" s="9">
        <v>22982</v>
      </c>
      <c r="N13" s="2">
        <v>69426</v>
      </c>
      <c r="O13" s="2" t="s">
        <v>37</v>
      </c>
    </row>
    <row r="14" spans="1:15">
      <c r="A14" s="2" t="s">
        <v>60</v>
      </c>
      <c r="B14" s="2" t="s">
        <v>14</v>
      </c>
      <c r="C14" s="3" t="s">
        <v>61</v>
      </c>
      <c r="D14" s="2" t="s">
        <v>43</v>
      </c>
      <c r="E14" s="2" t="str">
        <f t="shared" si="0"/>
        <v>#AppleMusic#AppleLifestyle</v>
      </c>
      <c r="F14" s="2" t="s">
        <v>44</v>
      </c>
      <c r="G14" s="2" t="s">
        <v>45</v>
      </c>
      <c r="H14" s="2" t="str">
        <f t="shared" si="1"/>
        <v>#AppleMusic</v>
      </c>
      <c r="I14" s="8">
        <v>21255</v>
      </c>
      <c r="J14" s="8">
        <v>1452</v>
      </c>
      <c r="K14" s="8">
        <v>625</v>
      </c>
      <c r="L14" s="8">
        <v>1624</v>
      </c>
      <c r="M14" s="9">
        <v>21282</v>
      </c>
      <c r="N14" s="2">
        <v>57778</v>
      </c>
      <c r="O14" s="2" t="s">
        <v>62</v>
      </c>
    </row>
    <row r="15" spans="1:15">
      <c r="A15" s="2" t="s">
        <v>63</v>
      </c>
      <c r="B15" s="2" t="s">
        <v>14</v>
      </c>
      <c r="C15" s="4">
        <v>45906</v>
      </c>
      <c r="D15" s="2" t="s">
        <v>28</v>
      </c>
      <c r="E15" s="2" t="str">
        <f t="shared" si="0"/>
        <v>#AppleWatch#Health</v>
      </c>
      <c r="F15" s="2" t="s">
        <v>48</v>
      </c>
      <c r="G15" s="2" t="s">
        <v>49</v>
      </c>
      <c r="H15" s="2" t="str">
        <f t="shared" si="1"/>
        <v>#AppleWatch</v>
      </c>
      <c r="I15" s="8">
        <v>7124</v>
      </c>
      <c r="J15" s="8">
        <v>469</v>
      </c>
      <c r="K15" s="8">
        <v>851</v>
      </c>
      <c r="L15" s="8">
        <v>2571</v>
      </c>
      <c r="M15" s="9">
        <v>33802</v>
      </c>
      <c r="N15" s="2">
        <v>216313</v>
      </c>
      <c r="O15" s="2" t="s">
        <v>24</v>
      </c>
    </row>
    <row r="16" spans="1:15">
      <c r="A16" s="2" t="s">
        <v>64</v>
      </c>
      <c r="B16" s="2" t="s">
        <v>21</v>
      </c>
      <c r="C16" s="4">
        <v>45907</v>
      </c>
      <c r="D16" s="2" t="s">
        <v>28</v>
      </c>
      <c r="E16" s="2" t="str">
        <f t="shared" si="0"/>
        <v>#AppleDesign#Innovation</v>
      </c>
      <c r="F16" s="2" t="s">
        <v>29</v>
      </c>
      <c r="G16" s="2" t="s">
        <v>30</v>
      </c>
      <c r="H16" s="2" t="str">
        <f t="shared" si="1"/>
        <v>#AppleDesign</v>
      </c>
      <c r="I16" s="8">
        <v>3015</v>
      </c>
      <c r="J16" s="8">
        <v>997</v>
      </c>
      <c r="K16" s="8">
        <v>783</v>
      </c>
      <c r="L16" s="8">
        <v>617</v>
      </c>
      <c r="M16" s="9">
        <v>77167</v>
      </c>
      <c r="N16" s="2">
        <v>82229</v>
      </c>
      <c r="O16" s="2" t="s">
        <v>24</v>
      </c>
    </row>
    <row r="17" spans="1:15">
      <c r="A17" s="2" t="s">
        <v>65</v>
      </c>
      <c r="B17" s="2" t="s">
        <v>26</v>
      </c>
      <c r="C17" s="3" t="s">
        <v>66</v>
      </c>
      <c r="D17" s="2" t="s">
        <v>43</v>
      </c>
      <c r="E17" s="2" t="str">
        <f t="shared" si="0"/>
        <v>#AppleWatch#Health</v>
      </c>
      <c r="F17" s="2" t="s">
        <v>48</v>
      </c>
      <c r="G17" s="2" t="s">
        <v>49</v>
      </c>
      <c r="H17" s="2" t="str">
        <f t="shared" si="1"/>
        <v>#AppleWatch</v>
      </c>
      <c r="I17" s="8">
        <v>4193</v>
      </c>
      <c r="J17" s="8">
        <v>924</v>
      </c>
      <c r="K17" s="8">
        <v>707</v>
      </c>
      <c r="L17" s="8">
        <v>2696</v>
      </c>
      <c r="M17" s="9">
        <v>55075</v>
      </c>
      <c r="N17" s="2">
        <v>126652</v>
      </c>
      <c r="O17" s="2" t="s">
        <v>37</v>
      </c>
    </row>
    <row r="18" spans="1:15">
      <c r="A18" s="2" t="s">
        <v>67</v>
      </c>
      <c r="B18" s="2" t="s">
        <v>21</v>
      </c>
      <c r="C18" s="3" t="s">
        <v>68</v>
      </c>
      <c r="D18" s="2" t="s">
        <v>28</v>
      </c>
      <c r="E18" s="2" t="str">
        <f t="shared" si="0"/>
        <v>#AppleEvent#iPhone16</v>
      </c>
      <c r="F18" s="2" t="s">
        <v>35</v>
      </c>
      <c r="G18" s="2" t="s">
        <v>69</v>
      </c>
      <c r="H18" s="2" t="str">
        <f t="shared" si="1"/>
        <v>#AppleEvent</v>
      </c>
      <c r="I18" s="8">
        <v>10415</v>
      </c>
      <c r="J18" s="8">
        <v>1388</v>
      </c>
      <c r="K18" s="8">
        <v>725</v>
      </c>
      <c r="L18" s="8">
        <v>2462</v>
      </c>
      <c r="M18" s="9">
        <v>53082</v>
      </c>
      <c r="N18" s="2">
        <v>168267</v>
      </c>
      <c r="O18" s="2" t="s">
        <v>62</v>
      </c>
    </row>
    <row r="19" spans="1:15">
      <c r="A19" s="2" t="s">
        <v>70</v>
      </c>
      <c r="B19" s="2" t="s">
        <v>21</v>
      </c>
      <c r="C19" s="3" t="s">
        <v>71</v>
      </c>
      <c r="D19" s="2" t="s">
        <v>16</v>
      </c>
      <c r="E19" s="2" t="str">
        <f t="shared" si="0"/>
        <v>#AppleWatch#Health</v>
      </c>
      <c r="F19" s="2" t="s">
        <v>48</v>
      </c>
      <c r="G19" s="2" t="s">
        <v>49</v>
      </c>
      <c r="H19" s="2" t="str">
        <f t="shared" si="1"/>
        <v>#AppleWatch</v>
      </c>
      <c r="I19" s="8">
        <v>15550</v>
      </c>
      <c r="J19" s="8">
        <v>204</v>
      </c>
      <c r="K19" s="8">
        <v>279</v>
      </c>
      <c r="L19" s="8">
        <v>1646</v>
      </c>
      <c r="M19" s="9">
        <v>35819</v>
      </c>
      <c r="N19" s="2">
        <v>219436</v>
      </c>
      <c r="O19" s="2" t="s">
        <v>19</v>
      </c>
    </row>
    <row r="20" spans="1:15">
      <c r="A20" s="2" t="s">
        <v>72</v>
      </c>
      <c r="B20" s="2" t="s">
        <v>21</v>
      </c>
      <c r="C20" s="3" t="s">
        <v>73</v>
      </c>
      <c r="D20" s="2" t="s">
        <v>28</v>
      </c>
      <c r="E20" s="2" t="str">
        <f t="shared" si="0"/>
        <v>#AppleEvent#iPhone16</v>
      </c>
      <c r="F20" s="2" t="s">
        <v>35</v>
      </c>
      <c r="G20" s="2" t="s">
        <v>69</v>
      </c>
      <c r="H20" s="2" t="str">
        <f t="shared" si="1"/>
        <v>#AppleEvent</v>
      </c>
      <c r="I20" s="8">
        <v>16512</v>
      </c>
      <c r="J20" s="8">
        <v>1050</v>
      </c>
      <c r="K20" s="8">
        <v>971</v>
      </c>
      <c r="L20" s="8">
        <v>1891</v>
      </c>
      <c r="M20" s="9">
        <v>15865</v>
      </c>
      <c r="N20" s="2">
        <v>166503</v>
      </c>
      <c r="O20" s="2" t="s">
        <v>37</v>
      </c>
    </row>
    <row r="21" spans="1:15">
      <c r="A21" s="2" t="s">
        <v>74</v>
      </c>
      <c r="B21" s="2" t="s">
        <v>14</v>
      </c>
      <c r="C21" s="3" t="s">
        <v>75</v>
      </c>
      <c r="D21" s="2" t="s">
        <v>34</v>
      </c>
      <c r="E21" s="2" t="str">
        <f t="shared" si="0"/>
        <v>#AppleDesign#Innovation</v>
      </c>
      <c r="F21" s="2" t="s">
        <v>29</v>
      </c>
      <c r="G21" s="2" t="s">
        <v>30</v>
      </c>
      <c r="H21" s="2" t="str">
        <f t="shared" si="1"/>
        <v>#AppleDesign</v>
      </c>
      <c r="I21" s="8">
        <v>6158</v>
      </c>
      <c r="J21" s="8">
        <v>277</v>
      </c>
      <c r="K21" s="8">
        <v>512</v>
      </c>
      <c r="L21" s="8">
        <v>2189</v>
      </c>
      <c r="M21" s="9">
        <v>76881</v>
      </c>
      <c r="N21" s="2">
        <v>124878</v>
      </c>
      <c r="O21" s="2" t="s">
        <v>37</v>
      </c>
    </row>
    <row r="22" spans="1:15">
      <c r="A22" s="2" t="s">
        <v>76</v>
      </c>
      <c r="B22" s="2" t="s">
        <v>53</v>
      </c>
      <c r="C22" s="4">
        <v>45908</v>
      </c>
      <c r="D22" s="2" t="s">
        <v>43</v>
      </c>
      <c r="E22" s="2" t="str">
        <f t="shared" si="0"/>
        <v>#iPhonePhotography#ShotOniPhone</v>
      </c>
      <c r="F22" s="2" t="s">
        <v>77</v>
      </c>
      <c r="G22" s="2" t="s">
        <v>40</v>
      </c>
      <c r="H22" s="2" t="str">
        <f t="shared" si="1"/>
        <v>#iPhonePhotography</v>
      </c>
      <c r="I22" s="8">
        <v>22309</v>
      </c>
      <c r="J22" s="8">
        <v>773</v>
      </c>
      <c r="K22" s="8">
        <v>854</v>
      </c>
      <c r="L22" s="8">
        <v>2387</v>
      </c>
      <c r="M22" s="9">
        <v>72396</v>
      </c>
      <c r="N22" s="2">
        <v>97056</v>
      </c>
      <c r="O22" s="2" t="s">
        <v>24</v>
      </c>
    </row>
    <row r="23" spans="1:15">
      <c r="A23" s="2" t="s">
        <v>78</v>
      </c>
      <c r="B23" s="2" t="s">
        <v>26</v>
      </c>
      <c r="C23" s="3" t="s">
        <v>79</v>
      </c>
      <c r="D23" s="2" t="s">
        <v>16</v>
      </c>
      <c r="E23" s="2" t="str">
        <f t="shared" si="0"/>
        <v>#AppleMusic#AppleLifestyle</v>
      </c>
      <c r="F23" s="2" t="s">
        <v>44</v>
      </c>
      <c r="G23" s="2" t="s">
        <v>45</v>
      </c>
      <c r="H23" s="2" t="str">
        <f t="shared" si="1"/>
        <v>#AppleMusic</v>
      </c>
      <c r="I23" s="8">
        <v>8970</v>
      </c>
      <c r="J23" s="8">
        <v>331</v>
      </c>
      <c r="K23" s="8">
        <v>968</v>
      </c>
      <c r="L23" s="8">
        <v>2296</v>
      </c>
      <c r="M23" s="9">
        <v>24613</v>
      </c>
      <c r="N23" s="2">
        <v>198562</v>
      </c>
      <c r="O23" s="2" t="s">
        <v>37</v>
      </c>
    </row>
    <row r="24" spans="1:15">
      <c r="A24" s="2" t="s">
        <v>80</v>
      </c>
      <c r="B24" s="2" t="s">
        <v>53</v>
      </c>
      <c r="C24" s="3" t="s">
        <v>81</v>
      </c>
      <c r="D24" s="2" t="s">
        <v>43</v>
      </c>
      <c r="E24" s="2" t="str">
        <f t="shared" si="0"/>
        <v>#AppleEvent#iPhone16</v>
      </c>
      <c r="F24" s="2" t="s">
        <v>35</v>
      </c>
      <c r="G24" s="2" t="s">
        <v>69</v>
      </c>
      <c r="H24" s="2" t="str">
        <f t="shared" si="1"/>
        <v>#AppleEvent</v>
      </c>
      <c r="I24" s="8">
        <v>8938</v>
      </c>
      <c r="J24" s="8">
        <v>800</v>
      </c>
      <c r="K24" s="8">
        <v>842</v>
      </c>
      <c r="L24" s="8">
        <v>2072</v>
      </c>
      <c r="M24" s="9">
        <v>31736</v>
      </c>
      <c r="N24" s="2">
        <v>59975</v>
      </c>
      <c r="O24" s="2" t="s">
        <v>37</v>
      </c>
    </row>
    <row r="25" spans="1:15">
      <c r="A25" s="2" t="s">
        <v>82</v>
      </c>
      <c r="B25" s="2" t="s">
        <v>21</v>
      </c>
      <c r="C25" s="3" t="s">
        <v>83</v>
      </c>
      <c r="D25" s="2" t="s">
        <v>34</v>
      </c>
      <c r="E25" s="2" t="str">
        <f t="shared" si="0"/>
        <v>#iPhone16Launch#AppleEvent</v>
      </c>
      <c r="F25" s="2" t="s">
        <v>55</v>
      </c>
      <c r="G25" s="2" t="s">
        <v>35</v>
      </c>
      <c r="H25" s="2" t="str">
        <f t="shared" si="1"/>
        <v>#iPhone16Launch</v>
      </c>
      <c r="I25" s="8">
        <v>23168</v>
      </c>
      <c r="J25" s="8">
        <v>1265</v>
      </c>
      <c r="K25" s="8">
        <v>441</v>
      </c>
      <c r="L25" s="8">
        <v>1612</v>
      </c>
      <c r="M25" s="9">
        <v>66615</v>
      </c>
      <c r="N25" s="2">
        <v>197795</v>
      </c>
      <c r="O25" s="2" t="s">
        <v>37</v>
      </c>
    </row>
    <row r="26" spans="1:15">
      <c r="A26" s="2" t="s">
        <v>84</v>
      </c>
      <c r="B26" s="2" t="s">
        <v>21</v>
      </c>
      <c r="C26" s="4">
        <v>45909</v>
      </c>
      <c r="D26" s="2" t="s">
        <v>34</v>
      </c>
      <c r="E26" s="2" t="str">
        <f t="shared" si="0"/>
        <v>#AppleWatch#Health</v>
      </c>
      <c r="F26" s="2" t="s">
        <v>48</v>
      </c>
      <c r="G26" s="2" t="s">
        <v>49</v>
      </c>
      <c r="H26" s="2" t="str">
        <f t="shared" si="1"/>
        <v>#AppleWatch</v>
      </c>
      <c r="I26" s="8">
        <v>15772</v>
      </c>
      <c r="J26" s="8">
        <v>288</v>
      </c>
      <c r="K26" s="8">
        <v>520</v>
      </c>
      <c r="L26" s="8">
        <v>1585</v>
      </c>
      <c r="M26" s="9">
        <v>59182</v>
      </c>
      <c r="N26" s="2">
        <v>194351</v>
      </c>
      <c r="O26" s="2" t="s">
        <v>24</v>
      </c>
    </row>
    <row r="27" spans="1:15">
      <c r="A27" s="2" t="s">
        <v>85</v>
      </c>
      <c r="B27" s="2" t="s">
        <v>53</v>
      </c>
      <c r="C27" s="3" t="s">
        <v>86</v>
      </c>
      <c r="D27" s="2" t="s">
        <v>34</v>
      </c>
      <c r="E27" s="2" t="str">
        <f t="shared" si="0"/>
        <v>#AppleWatch#Health</v>
      </c>
      <c r="F27" s="2" t="s">
        <v>48</v>
      </c>
      <c r="G27" s="2" t="s">
        <v>49</v>
      </c>
      <c r="H27" s="2" t="str">
        <f t="shared" si="1"/>
        <v>#AppleWatch</v>
      </c>
      <c r="I27" s="8">
        <v>22384</v>
      </c>
      <c r="J27" s="8">
        <v>601</v>
      </c>
      <c r="K27" s="8">
        <v>943</v>
      </c>
      <c r="L27" s="8">
        <v>515</v>
      </c>
      <c r="M27" s="9">
        <v>41309</v>
      </c>
      <c r="N27" s="2">
        <v>249373</v>
      </c>
      <c r="O27" s="2" t="s">
        <v>19</v>
      </c>
    </row>
    <row r="28" spans="1:15">
      <c r="A28" s="2" t="s">
        <v>87</v>
      </c>
      <c r="B28" s="2" t="s">
        <v>53</v>
      </c>
      <c r="C28" s="3" t="s">
        <v>88</v>
      </c>
      <c r="D28" s="2" t="s">
        <v>28</v>
      </c>
      <c r="E28" s="2" t="str">
        <f t="shared" si="0"/>
        <v>#iPhone16Launch#AppleEvent</v>
      </c>
      <c r="F28" s="2" t="s">
        <v>55</v>
      </c>
      <c r="G28" s="2" t="s">
        <v>35</v>
      </c>
      <c r="H28" s="2" t="str">
        <f t="shared" si="1"/>
        <v>#iPhone16Launch</v>
      </c>
      <c r="I28" s="8">
        <v>20017</v>
      </c>
      <c r="J28" s="8">
        <v>495</v>
      </c>
      <c r="K28" s="8">
        <v>178</v>
      </c>
      <c r="L28" s="8">
        <v>2683</v>
      </c>
      <c r="M28" s="9">
        <v>32244</v>
      </c>
      <c r="N28" s="2">
        <v>182633</v>
      </c>
      <c r="O28" s="2" t="s">
        <v>19</v>
      </c>
    </row>
    <row r="29" spans="1:15">
      <c r="A29" s="2" t="s">
        <v>89</v>
      </c>
      <c r="B29" s="2" t="s">
        <v>53</v>
      </c>
      <c r="C29" s="3" t="s">
        <v>90</v>
      </c>
      <c r="D29" s="2" t="s">
        <v>28</v>
      </c>
      <c r="E29" s="2" t="str">
        <f t="shared" si="0"/>
        <v>#ShotOniPhone</v>
      </c>
      <c r="F29" s="2" t="s">
        <v>40</v>
      </c>
      <c r="G29" s="2"/>
      <c r="H29" s="2" t="str">
        <f t="shared" si="1"/>
        <v>#ShotOniPhone</v>
      </c>
      <c r="I29" s="8">
        <v>12344</v>
      </c>
      <c r="J29" s="8">
        <v>815</v>
      </c>
      <c r="K29" s="8">
        <v>298</v>
      </c>
      <c r="L29" s="8">
        <v>2439</v>
      </c>
      <c r="M29" s="9">
        <v>6259</v>
      </c>
      <c r="N29" s="2">
        <v>237133</v>
      </c>
      <c r="O29" s="2" t="s">
        <v>37</v>
      </c>
    </row>
    <row r="30" spans="1:15">
      <c r="A30" s="2" t="s">
        <v>91</v>
      </c>
      <c r="B30" s="2" t="s">
        <v>21</v>
      </c>
      <c r="C30" s="4">
        <v>45910</v>
      </c>
      <c r="D30" s="2" t="s">
        <v>43</v>
      </c>
      <c r="E30" s="2" t="str">
        <f t="shared" si="0"/>
        <v>#MacBookProM3</v>
      </c>
      <c r="F30" s="2" t="s">
        <v>92</v>
      </c>
      <c r="G30" s="2"/>
      <c r="H30" s="2" t="str">
        <f t="shared" si="1"/>
        <v>#MacBookProM3</v>
      </c>
      <c r="I30" s="8">
        <v>9266</v>
      </c>
      <c r="J30" s="8">
        <v>999</v>
      </c>
      <c r="K30" s="8">
        <v>928</v>
      </c>
      <c r="L30" s="8">
        <v>2700</v>
      </c>
      <c r="M30" s="9">
        <v>12264</v>
      </c>
      <c r="N30" s="2">
        <v>128397</v>
      </c>
      <c r="O30" s="2" t="s">
        <v>24</v>
      </c>
    </row>
    <row r="31" spans="1:15">
      <c r="A31" s="2" t="s">
        <v>93</v>
      </c>
      <c r="B31" s="2" t="s">
        <v>21</v>
      </c>
      <c r="C31" s="3" t="s">
        <v>94</v>
      </c>
      <c r="D31" s="2" t="s">
        <v>43</v>
      </c>
      <c r="E31" s="2" t="str">
        <f t="shared" si="0"/>
        <v>#iPhonePhotography#ShotOniPhone</v>
      </c>
      <c r="F31" s="2" t="s">
        <v>77</v>
      </c>
      <c r="G31" s="2" t="s">
        <v>40</v>
      </c>
      <c r="H31" s="2" t="str">
        <f t="shared" si="1"/>
        <v>#iPhonePhotography</v>
      </c>
      <c r="I31" s="8">
        <v>10702</v>
      </c>
      <c r="J31" s="8">
        <v>621</v>
      </c>
      <c r="K31" s="8">
        <v>445</v>
      </c>
      <c r="L31" s="8">
        <v>2918</v>
      </c>
      <c r="M31" s="9">
        <v>54808</v>
      </c>
      <c r="N31" s="2">
        <v>220225</v>
      </c>
      <c r="O31" s="2" t="s">
        <v>19</v>
      </c>
    </row>
    <row r="32" spans="1:15">
      <c r="A32" s="2" t="s">
        <v>95</v>
      </c>
      <c r="B32" s="2" t="s">
        <v>26</v>
      </c>
      <c r="C32" s="3" t="s">
        <v>96</v>
      </c>
      <c r="D32" s="2" t="s">
        <v>16</v>
      </c>
      <c r="E32" s="2" t="str">
        <f t="shared" si="0"/>
        <v>#AppleEvent#iPadPro</v>
      </c>
      <c r="F32" s="2" t="s">
        <v>35</v>
      </c>
      <c r="G32" s="2" t="s">
        <v>36</v>
      </c>
      <c r="H32" s="2" t="str">
        <f t="shared" si="1"/>
        <v>#AppleEvent</v>
      </c>
      <c r="I32" s="8">
        <v>2384</v>
      </c>
      <c r="J32" s="8">
        <v>1246</v>
      </c>
      <c r="K32" s="8">
        <v>160</v>
      </c>
      <c r="L32" s="8">
        <v>2004</v>
      </c>
      <c r="M32" s="9">
        <v>2701</v>
      </c>
      <c r="N32" s="2">
        <v>73142</v>
      </c>
      <c r="O32" s="2" t="s">
        <v>19</v>
      </c>
    </row>
    <row r="33" spans="1:15">
      <c r="A33" s="2" t="s">
        <v>97</v>
      </c>
      <c r="B33" s="2" t="s">
        <v>26</v>
      </c>
      <c r="C33" s="3" t="s">
        <v>98</v>
      </c>
      <c r="D33" s="2" t="s">
        <v>16</v>
      </c>
      <c r="E33" s="2" t="str">
        <f t="shared" si="0"/>
        <v>#AppleEvent#iPhone16</v>
      </c>
      <c r="F33" s="2" t="s">
        <v>35</v>
      </c>
      <c r="G33" s="2" t="s">
        <v>69</v>
      </c>
      <c r="H33" s="2" t="str">
        <f t="shared" si="1"/>
        <v>#AppleEvent</v>
      </c>
      <c r="I33" s="8">
        <v>2404</v>
      </c>
      <c r="J33" s="8">
        <v>774</v>
      </c>
      <c r="K33" s="8">
        <v>661</v>
      </c>
      <c r="L33" s="8">
        <v>662</v>
      </c>
      <c r="M33" s="9">
        <v>12676</v>
      </c>
      <c r="N33" s="2">
        <v>66916</v>
      </c>
      <c r="O33" s="2" t="s">
        <v>19</v>
      </c>
    </row>
    <row r="34" spans="1:15">
      <c r="A34" s="2" t="s">
        <v>99</v>
      </c>
      <c r="B34" s="2" t="s">
        <v>21</v>
      </c>
      <c r="C34" s="4">
        <v>45911</v>
      </c>
      <c r="D34" s="2" t="s">
        <v>43</v>
      </c>
      <c r="E34" s="2" t="str">
        <f t="shared" si="0"/>
        <v>#iPhone16Launch#AppleEvent</v>
      </c>
      <c r="F34" s="2" t="s">
        <v>55</v>
      </c>
      <c r="G34" s="2" t="s">
        <v>35</v>
      </c>
      <c r="H34" s="2" t="str">
        <f t="shared" si="1"/>
        <v>#iPhone16Launch</v>
      </c>
      <c r="I34" s="8">
        <v>10175</v>
      </c>
      <c r="J34" s="8">
        <v>342</v>
      </c>
      <c r="K34" s="8">
        <v>825</v>
      </c>
      <c r="L34" s="8">
        <v>2904</v>
      </c>
      <c r="M34" s="9">
        <v>15954</v>
      </c>
      <c r="N34" s="2">
        <v>104324</v>
      </c>
      <c r="O34" s="2" t="s">
        <v>24</v>
      </c>
    </row>
    <row r="35" spans="1:15">
      <c r="A35" s="2" t="s">
        <v>100</v>
      </c>
      <c r="B35" s="2" t="s">
        <v>53</v>
      </c>
      <c r="C35" s="4">
        <v>45912</v>
      </c>
      <c r="D35" s="2" t="s">
        <v>28</v>
      </c>
      <c r="E35" s="2" t="str">
        <f t="shared" si="0"/>
        <v>#AppleDesign#Innovation</v>
      </c>
      <c r="F35" s="2" t="s">
        <v>29</v>
      </c>
      <c r="G35" s="2" t="s">
        <v>30</v>
      </c>
      <c r="H35" s="2" t="str">
        <f t="shared" si="1"/>
        <v>#AppleDesign</v>
      </c>
      <c r="I35" s="8">
        <v>17158</v>
      </c>
      <c r="J35" s="8">
        <v>1192</v>
      </c>
      <c r="K35" s="8">
        <v>262</v>
      </c>
      <c r="L35" s="8">
        <v>2016</v>
      </c>
      <c r="M35" s="9">
        <v>28771</v>
      </c>
      <c r="N35" s="2">
        <v>216037</v>
      </c>
      <c r="O35" s="2" t="s">
        <v>24</v>
      </c>
    </row>
    <row r="36" spans="1:15">
      <c r="A36" s="2" t="s">
        <v>101</v>
      </c>
      <c r="B36" s="2" t="s">
        <v>53</v>
      </c>
      <c r="C36" s="3" t="s">
        <v>102</v>
      </c>
      <c r="D36" s="2" t="s">
        <v>34</v>
      </c>
      <c r="E36" s="2" t="str">
        <f t="shared" si="0"/>
        <v>#AppleEvent#iPhone16</v>
      </c>
      <c r="F36" s="2" t="s">
        <v>35</v>
      </c>
      <c r="G36" s="2" t="s">
        <v>69</v>
      </c>
      <c r="H36" s="2" t="str">
        <f t="shared" si="1"/>
        <v>#AppleEvent</v>
      </c>
      <c r="I36" s="8">
        <v>14763</v>
      </c>
      <c r="J36" s="8">
        <v>864</v>
      </c>
      <c r="K36" s="8">
        <v>336</v>
      </c>
      <c r="L36" s="8">
        <v>1493</v>
      </c>
      <c r="M36" s="9">
        <v>33310</v>
      </c>
      <c r="N36" s="2">
        <v>165932</v>
      </c>
      <c r="O36" s="2" t="s">
        <v>37</v>
      </c>
    </row>
    <row r="37" spans="1:15">
      <c r="A37" s="2" t="s">
        <v>103</v>
      </c>
      <c r="B37" s="2" t="s">
        <v>26</v>
      </c>
      <c r="C37" s="3" t="s">
        <v>104</v>
      </c>
      <c r="D37" s="2" t="s">
        <v>43</v>
      </c>
      <c r="E37" s="2" t="str">
        <f t="shared" si="0"/>
        <v>#MacBookProM3</v>
      </c>
      <c r="F37" s="2" t="s">
        <v>92</v>
      </c>
      <c r="G37" s="2"/>
      <c r="H37" s="2" t="str">
        <f t="shared" si="1"/>
        <v>#MacBookProM3</v>
      </c>
      <c r="I37" s="8">
        <v>20384</v>
      </c>
      <c r="J37" s="8">
        <v>344</v>
      </c>
      <c r="K37" s="8">
        <v>956</v>
      </c>
      <c r="L37" s="8">
        <v>655</v>
      </c>
      <c r="M37" s="9">
        <v>67621</v>
      </c>
      <c r="N37" s="2">
        <v>175720</v>
      </c>
      <c r="O37" s="2" t="s">
        <v>31</v>
      </c>
    </row>
    <row r="38" spans="1:15">
      <c r="A38" s="2" t="s">
        <v>105</v>
      </c>
      <c r="B38" s="2" t="s">
        <v>21</v>
      </c>
      <c r="C38" s="3" t="s">
        <v>106</v>
      </c>
      <c r="D38" s="2" t="s">
        <v>16</v>
      </c>
      <c r="E38" s="2" t="str">
        <f t="shared" si="0"/>
        <v>#AppleDesign#Innovation</v>
      </c>
      <c r="F38" s="2" t="s">
        <v>29</v>
      </c>
      <c r="G38" s="2" t="s">
        <v>30</v>
      </c>
      <c r="H38" s="2" t="str">
        <f t="shared" si="1"/>
        <v>#AppleDesign</v>
      </c>
      <c r="I38" s="8">
        <v>11860</v>
      </c>
      <c r="J38" s="8">
        <v>1448</v>
      </c>
      <c r="K38" s="8">
        <v>893</v>
      </c>
      <c r="L38" s="8">
        <v>490</v>
      </c>
      <c r="M38" s="9">
        <v>23518</v>
      </c>
      <c r="N38" s="2">
        <v>206205</v>
      </c>
      <c r="O38" s="2" t="s">
        <v>19</v>
      </c>
    </row>
    <row r="39" spans="1:15">
      <c r="A39" s="2" t="s">
        <v>107</v>
      </c>
      <c r="B39" s="2" t="s">
        <v>26</v>
      </c>
      <c r="C39" s="3" t="s">
        <v>108</v>
      </c>
      <c r="D39" s="2" t="s">
        <v>28</v>
      </c>
      <c r="E39" s="2" t="str">
        <f t="shared" si="0"/>
        <v>#MacBookAirM3#AppleInnovation</v>
      </c>
      <c r="F39" s="2" t="s">
        <v>22</v>
      </c>
      <c r="G39" s="2" t="s">
        <v>23</v>
      </c>
      <c r="H39" s="2" t="str">
        <f t="shared" si="1"/>
        <v>#MacBookAirM3</v>
      </c>
      <c r="I39" s="8">
        <v>7989</v>
      </c>
      <c r="J39" s="8">
        <v>1206</v>
      </c>
      <c r="K39" s="8">
        <v>376</v>
      </c>
      <c r="L39" s="8">
        <v>2769</v>
      </c>
      <c r="M39" s="9">
        <v>27550</v>
      </c>
      <c r="N39" s="2">
        <v>221749</v>
      </c>
      <c r="O39" s="2" t="s">
        <v>31</v>
      </c>
    </row>
    <row r="40" spans="1:15">
      <c r="A40" s="2" t="s">
        <v>109</v>
      </c>
      <c r="B40" s="2" t="s">
        <v>26</v>
      </c>
      <c r="C40" s="4">
        <v>45913</v>
      </c>
      <c r="D40" s="2" t="s">
        <v>43</v>
      </c>
      <c r="E40" s="2" t="str">
        <f t="shared" si="0"/>
        <v>#AppleMusic#AppleLifestyle</v>
      </c>
      <c r="F40" s="2" t="s">
        <v>44</v>
      </c>
      <c r="G40" s="2" t="s">
        <v>45</v>
      </c>
      <c r="H40" s="2" t="str">
        <f t="shared" si="1"/>
        <v>#AppleMusic</v>
      </c>
      <c r="I40" s="8">
        <v>17106</v>
      </c>
      <c r="J40" s="8">
        <v>702</v>
      </c>
      <c r="K40" s="8">
        <v>459</v>
      </c>
      <c r="L40" s="8">
        <v>999</v>
      </c>
      <c r="M40" s="9">
        <v>59627</v>
      </c>
      <c r="N40" s="2">
        <v>136059</v>
      </c>
      <c r="O40" s="2" t="s">
        <v>24</v>
      </c>
    </row>
    <row r="41" spans="1:15">
      <c r="A41" s="2" t="s">
        <v>110</v>
      </c>
      <c r="B41" s="2" t="s">
        <v>14</v>
      </c>
      <c r="C41" s="4">
        <v>45914</v>
      </c>
      <c r="D41" s="2" t="s">
        <v>43</v>
      </c>
      <c r="E41" s="2" t="str">
        <f t="shared" si="0"/>
        <v>#AppleWatch#Health</v>
      </c>
      <c r="F41" s="2" t="s">
        <v>48</v>
      </c>
      <c r="G41" s="2" t="s">
        <v>49</v>
      </c>
      <c r="H41" s="2" t="str">
        <f t="shared" si="1"/>
        <v>#AppleWatch</v>
      </c>
      <c r="I41" s="8">
        <v>19844</v>
      </c>
      <c r="J41" s="8">
        <v>1020</v>
      </c>
      <c r="K41" s="8">
        <v>247</v>
      </c>
      <c r="L41" s="8">
        <v>2354</v>
      </c>
      <c r="M41" s="9">
        <v>37792</v>
      </c>
      <c r="N41" s="2">
        <v>138317</v>
      </c>
      <c r="O41" s="2" t="s">
        <v>24</v>
      </c>
    </row>
    <row r="42" spans="1:15">
      <c r="A42" s="2" t="s">
        <v>111</v>
      </c>
      <c r="B42" s="2" t="s">
        <v>14</v>
      </c>
      <c r="C42" s="4">
        <v>45915</v>
      </c>
      <c r="D42" s="2" t="s">
        <v>28</v>
      </c>
      <c r="E42" s="2" t="str">
        <f t="shared" si="0"/>
        <v>#MacBookAirM3#AppleInnovation</v>
      </c>
      <c r="F42" s="2" t="s">
        <v>22</v>
      </c>
      <c r="G42" s="2" t="s">
        <v>23</v>
      </c>
      <c r="H42" s="2" t="str">
        <f t="shared" si="1"/>
        <v>#MacBookAirM3</v>
      </c>
      <c r="I42" s="8">
        <v>5636</v>
      </c>
      <c r="J42" s="8">
        <v>303</v>
      </c>
      <c r="K42" s="8">
        <v>204</v>
      </c>
      <c r="L42" s="8">
        <v>2480</v>
      </c>
      <c r="M42" s="9">
        <v>7377</v>
      </c>
      <c r="N42" s="2">
        <v>241207</v>
      </c>
      <c r="O42" s="2" t="s">
        <v>24</v>
      </c>
    </row>
    <row r="43" spans="1:15">
      <c r="A43" s="2" t="s">
        <v>112</v>
      </c>
      <c r="B43" s="2" t="s">
        <v>14</v>
      </c>
      <c r="C43" s="3" t="s">
        <v>113</v>
      </c>
      <c r="D43" s="2" t="s">
        <v>43</v>
      </c>
      <c r="E43" s="2" t="str">
        <f t="shared" si="0"/>
        <v>#AppleEvent#iPhone16</v>
      </c>
      <c r="F43" s="2" t="s">
        <v>35</v>
      </c>
      <c r="G43" s="2" t="s">
        <v>69</v>
      </c>
      <c r="H43" s="2" t="str">
        <f t="shared" si="1"/>
        <v>#AppleEvent</v>
      </c>
      <c r="I43" s="8">
        <v>12916</v>
      </c>
      <c r="J43" s="8">
        <v>1262</v>
      </c>
      <c r="K43" s="8">
        <v>772</v>
      </c>
      <c r="L43" s="8">
        <v>856</v>
      </c>
      <c r="M43" s="9">
        <v>11496</v>
      </c>
      <c r="N43" s="2">
        <v>75046</v>
      </c>
      <c r="O43" s="2" t="s">
        <v>31</v>
      </c>
    </row>
    <row r="44" spans="1:15">
      <c r="A44" s="2" t="s">
        <v>114</v>
      </c>
      <c r="B44" s="2" t="s">
        <v>53</v>
      </c>
      <c r="C44" s="4">
        <v>45916</v>
      </c>
      <c r="D44" s="2" t="s">
        <v>28</v>
      </c>
      <c r="E44" s="2" t="str">
        <f t="shared" si="0"/>
        <v>#MacBookProM3</v>
      </c>
      <c r="F44" s="2" t="s">
        <v>92</v>
      </c>
      <c r="G44" s="2"/>
      <c r="H44" s="2" t="str">
        <f t="shared" si="1"/>
        <v>#MacBookProM3</v>
      </c>
      <c r="I44" s="8">
        <v>6809</v>
      </c>
      <c r="J44" s="8">
        <v>397</v>
      </c>
      <c r="K44" s="8">
        <v>813</v>
      </c>
      <c r="L44" s="8">
        <v>1125</v>
      </c>
      <c r="M44" s="9">
        <v>12206</v>
      </c>
      <c r="N44" s="2">
        <v>218136</v>
      </c>
      <c r="O44" s="2" t="s">
        <v>24</v>
      </c>
    </row>
    <row r="45" spans="1:15">
      <c r="A45" s="2" t="s">
        <v>115</v>
      </c>
      <c r="B45" s="2" t="s">
        <v>21</v>
      </c>
      <c r="C45" s="3" t="s">
        <v>116</v>
      </c>
      <c r="D45" s="2" t="s">
        <v>34</v>
      </c>
      <c r="E45" s="2" t="str">
        <f t="shared" si="0"/>
        <v>#iPhonePhotography#ShotOniPhone</v>
      </c>
      <c r="F45" s="2" t="s">
        <v>77</v>
      </c>
      <c r="G45" s="2" t="s">
        <v>40</v>
      </c>
      <c r="H45" s="2" t="str">
        <f t="shared" si="1"/>
        <v>#iPhonePhotography</v>
      </c>
      <c r="I45" s="8">
        <v>22562</v>
      </c>
      <c r="J45" s="8">
        <v>778</v>
      </c>
      <c r="K45" s="8">
        <v>907</v>
      </c>
      <c r="L45" s="8">
        <v>1354</v>
      </c>
      <c r="M45" s="9">
        <v>34475</v>
      </c>
      <c r="N45" s="2">
        <v>141459</v>
      </c>
      <c r="O45" s="2" t="s">
        <v>37</v>
      </c>
    </row>
    <row r="46" spans="1:15">
      <c r="A46" s="2" t="s">
        <v>117</v>
      </c>
      <c r="B46" s="2" t="s">
        <v>21</v>
      </c>
      <c r="C46" s="4">
        <v>45917</v>
      </c>
      <c r="D46" s="2" t="s">
        <v>28</v>
      </c>
      <c r="E46" s="2" t="str">
        <f t="shared" si="0"/>
        <v>#AppleMusic#AppleLifestyle</v>
      </c>
      <c r="F46" s="2" t="s">
        <v>44</v>
      </c>
      <c r="G46" s="2" t="s">
        <v>45</v>
      </c>
      <c r="H46" s="2" t="str">
        <f t="shared" si="1"/>
        <v>#AppleMusic</v>
      </c>
      <c r="I46" s="8">
        <v>15456</v>
      </c>
      <c r="J46" s="8">
        <v>590</v>
      </c>
      <c r="K46" s="8">
        <v>555</v>
      </c>
      <c r="L46" s="8">
        <v>2882</v>
      </c>
      <c r="M46" s="9">
        <v>49816</v>
      </c>
      <c r="N46" s="2">
        <v>240422</v>
      </c>
      <c r="O46" s="2" t="s">
        <v>24</v>
      </c>
    </row>
    <row r="47" spans="1:15">
      <c r="A47" s="2" t="s">
        <v>118</v>
      </c>
      <c r="B47" s="2" t="s">
        <v>21</v>
      </c>
      <c r="C47" s="3" t="s">
        <v>119</v>
      </c>
      <c r="D47" s="2" t="s">
        <v>28</v>
      </c>
      <c r="E47" s="2" t="str">
        <f t="shared" si="0"/>
        <v>#AppleEvent#iPhone16</v>
      </c>
      <c r="F47" s="2" t="s">
        <v>35</v>
      </c>
      <c r="G47" s="2" t="s">
        <v>69</v>
      </c>
      <c r="H47" s="2" t="str">
        <f t="shared" si="1"/>
        <v>#AppleEvent</v>
      </c>
      <c r="I47" s="8">
        <v>17444</v>
      </c>
      <c r="J47" s="8">
        <v>1402</v>
      </c>
      <c r="K47" s="8">
        <v>218</v>
      </c>
      <c r="L47" s="8">
        <v>725</v>
      </c>
      <c r="M47" s="9">
        <v>8710</v>
      </c>
      <c r="N47" s="2">
        <v>85893</v>
      </c>
      <c r="O47" s="2" t="s">
        <v>62</v>
      </c>
    </row>
    <row r="48" spans="1:15">
      <c r="A48" s="2" t="s">
        <v>120</v>
      </c>
      <c r="B48" s="2" t="s">
        <v>21</v>
      </c>
      <c r="C48" s="3" t="s">
        <v>121</v>
      </c>
      <c r="D48" s="2" t="s">
        <v>28</v>
      </c>
      <c r="E48" s="2" t="str">
        <f t="shared" si="0"/>
        <v>#iPhone16Launch#AppleEvent</v>
      </c>
      <c r="F48" s="2" t="s">
        <v>55</v>
      </c>
      <c r="G48" s="2" t="s">
        <v>35</v>
      </c>
      <c r="H48" s="2" t="str">
        <f t="shared" si="1"/>
        <v>#iPhone16Launch</v>
      </c>
      <c r="I48" s="8">
        <v>24984</v>
      </c>
      <c r="J48" s="8">
        <v>753</v>
      </c>
      <c r="K48" s="8">
        <v>461</v>
      </c>
      <c r="L48" s="8">
        <v>2710</v>
      </c>
      <c r="M48" s="9">
        <v>20792</v>
      </c>
      <c r="N48" s="2">
        <v>141520</v>
      </c>
      <c r="O48" s="2" t="s">
        <v>31</v>
      </c>
    </row>
    <row r="49" spans="1:15">
      <c r="A49" s="2" t="s">
        <v>122</v>
      </c>
      <c r="B49" s="2" t="s">
        <v>14</v>
      </c>
      <c r="C49" s="3" t="s">
        <v>54</v>
      </c>
      <c r="D49" s="2" t="s">
        <v>43</v>
      </c>
      <c r="E49" s="2" t="str">
        <f t="shared" si="0"/>
        <v>#AppleWatchUltra2#HealthTech</v>
      </c>
      <c r="F49" s="2" t="s">
        <v>17</v>
      </c>
      <c r="G49" s="2" t="s">
        <v>18</v>
      </c>
      <c r="H49" s="2" t="str">
        <f t="shared" si="1"/>
        <v>#AppleWatchUltra2</v>
      </c>
      <c r="I49" s="8">
        <v>7997</v>
      </c>
      <c r="J49" s="8">
        <v>1238</v>
      </c>
      <c r="K49" s="8">
        <v>438</v>
      </c>
      <c r="L49" s="8">
        <v>1874</v>
      </c>
      <c r="M49" s="9">
        <v>36272</v>
      </c>
      <c r="N49" s="2">
        <v>165818</v>
      </c>
      <c r="O49" s="2" t="s">
        <v>62</v>
      </c>
    </row>
    <row r="50" spans="1:15">
      <c r="A50" s="2" t="s">
        <v>123</v>
      </c>
      <c r="B50" s="2" t="s">
        <v>53</v>
      </c>
      <c r="C50" s="4">
        <v>45918</v>
      </c>
      <c r="D50" s="2" t="s">
        <v>43</v>
      </c>
      <c r="E50" s="2" t="str">
        <f t="shared" si="0"/>
        <v>#AppleEvent#iPhone16</v>
      </c>
      <c r="F50" s="2" t="s">
        <v>35</v>
      </c>
      <c r="G50" s="2" t="s">
        <v>69</v>
      </c>
      <c r="H50" s="2" t="str">
        <f t="shared" si="1"/>
        <v>#AppleEvent</v>
      </c>
      <c r="I50" s="8">
        <v>4048</v>
      </c>
      <c r="J50" s="8">
        <v>677</v>
      </c>
      <c r="K50" s="8">
        <v>911</v>
      </c>
      <c r="L50" s="8">
        <v>2429</v>
      </c>
      <c r="M50" s="9">
        <v>27361</v>
      </c>
      <c r="N50" s="2">
        <v>101272</v>
      </c>
      <c r="O50" s="2" t="s">
        <v>24</v>
      </c>
    </row>
    <row r="51" spans="1:15">
      <c r="A51" s="2" t="s">
        <v>124</v>
      </c>
      <c r="B51" s="2" t="s">
        <v>53</v>
      </c>
      <c r="C51" s="3" t="s">
        <v>125</v>
      </c>
      <c r="D51" s="2" t="s">
        <v>28</v>
      </c>
      <c r="E51" s="2" t="str">
        <f t="shared" si="0"/>
        <v>#AppleMusic#AppleLifestyle</v>
      </c>
      <c r="F51" s="2" t="s">
        <v>44</v>
      </c>
      <c r="G51" s="2" t="s">
        <v>45</v>
      </c>
      <c r="H51" s="2" t="str">
        <f t="shared" si="1"/>
        <v>#AppleMusic</v>
      </c>
      <c r="I51" s="8">
        <v>14338</v>
      </c>
      <c r="J51" s="8">
        <v>1454</v>
      </c>
      <c r="K51" s="8">
        <v>697</v>
      </c>
      <c r="L51" s="8">
        <v>2703</v>
      </c>
      <c r="M51" s="9">
        <v>21288</v>
      </c>
      <c r="N51" s="2">
        <v>107649</v>
      </c>
      <c r="O51" s="2" t="s">
        <v>37</v>
      </c>
    </row>
    <row r="52" spans="1:15">
      <c r="A52" s="2" t="s">
        <v>126</v>
      </c>
      <c r="B52" s="2" t="s">
        <v>14</v>
      </c>
      <c r="C52" s="3" t="s">
        <v>127</v>
      </c>
      <c r="D52" s="2" t="s">
        <v>43</v>
      </c>
      <c r="E52" s="2" t="str">
        <f t="shared" si="0"/>
        <v>#AppleWatch#Health</v>
      </c>
      <c r="F52" s="2" t="s">
        <v>48</v>
      </c>
      <c r="G52" s="2" t="s">
        <v>49</v>
      </c>
      <c r="H52" s="2" t="str">
        <f t="shared" si="1"/>
        <v>#AppleWatch</v>
      </c>
      <c r="I52" s="8">
        <v>23164</v>
      </c>
      <c r="J52" s="8">
        <v>1122</v>
      </c>
      <c r="K52" s="8">
        <v>900</v>
      </c>
      <c r="L52" s="8">
        <v>888</v>
      </c>
      <c r="M52" s="9">
        <v>36938</v>
      </c>
      <c r="N52" s="2">
        <v>104674</v>
      </c>
      <c r="O52" s="2" t="s">
        <v>19</v>
      </c>
    </row>
    <row r="53" spans="1:15">
      <c r="A53" s="2" t="s">
        <v>128</v>
      </c>
      <c r="B53" s="2" t="s">
        <v>53</v>
      </c>
      <c r="C53" s="4">
        <v>45919</v>
      </c>
      <c r="D53" s="2" t="s">
        <v>16</v>
      </c>
      <c r="E53" s="2" t="str">
        <f t="shared" si="0"/>
        <v>#AppleWatch#Health</v>
      </c>
      <c r="F53" s="2" t="s">
        <v>48</v>
      </c>
      <c r="G53" s="2" t="s">
        <v>49</v>
      </c>
      <c r="H53" s="2" t="str">
        <f t="shared" si="1"/>
        <v>#AppleWatch</v>
      </c>
      <c r="I53" s="8">
        <v>19100</v>
      </c>
      <c r="J53" s="8">
        <v>619</v>
      </c>
      <c r="K53" s="8">
        <v>297</v>
      </c>
      <c r="L53" s="8">
        <v>2312</v>
      </c>
      <c r="M53" s="9">
        <v>9730</v>
      </c>
      <c r="N53" s="2">
        <v>184832</v>
      </c>
      <c r="O53" s="2" t="s">
        <v>24</v>
      </c>
    </row>
    <row r="54" spans="1:15">
      <c r="A54" s="2" t="s">
        <v>129</v>
      </c>
      <c r="B54" s="2" t="s">
        <v>14</v>
      </c>
      <c r="C54" s="3" t="s">
        <v>121</v>
      </c>
      <c r="D54" s="2" t="s">
        <v>16</v>
      </c>
      <c r="E54" s="2" t="str">
        <f t="shared" si="0"/>
        <v>#AppleEvent#iPhone16</v>
      </c>
      <c r="F54" s="2" t="s">
        <v>35</v>
      </c>
      <c r="G54" s="2" t="s">
        <v>69</v>
      </c>
      <c r="H54" s="2" t="str">
        <f t="shared" si="1"/>
        <v>#AppleEvent</v>
      </c>
      <c r="I54" s="8">
        <v>23949</v>
      </c>
      <c r="J54" s="8">
        <v>356</v>
      </c>
      <c r="K54" s="8">
        <v>616</v>
      </c>
      <c r="L54" s="8">
        <v>1847</v>
      </c>
      <c r="M54" s="9">
        <v>3144</v>
      </c>
      <c r="N54" s="2">
        <v>192999</v>
      </c>
      <c r="O54" s="2" t="s">
        <v>37</v>
      </c>
    </row>
    <row r="55" spans="1:15">
      <c r="A55" s="2" t="s">
        <v>130</v>
      </c>
      <c r="B55" s="2" t="s">
        <v>21</v>
      </c>
      <c r="C55" s="3" t="s">
        <v>131</v>
      </c>
      <c r="D55" s="2" t="s">
        <v>43</v>
      </c>
      <c r="E55" s="2" t="str">
        <f t="shared" si="0"/>
        <v>#AppleDesign#Innovation</v>
      </c>
      <c r="F55" s="2" t="s">
        <v>29</v>
      </c>
      <c r="G55" s="2" t="s">
        <v>30</v>
      </c>
      <c r="H55" s="2" t="str">
        <f t="shared" si="1"/>
        <v>#AppleDesign</v>
      </c>
      <c r="I55" s="8">
        <v>6544</v>
      </c>
      <c r="J55" s="8">
        <v>749</v>
      </c>
      <c r="K55" s="8">
        <v>888</v>
      </c>
      <c r="L55" s="8">
        <v>594</v>
      </c>
      <c r="M55" s="9">
        <v>18171</v>
      </c>
      <c r="N55" s="2">
        <v>126475</v>
      </c>
      <c r="O55" s="2" t="s">
        <v>31</v>
      </c>
    </row>
    <row r="56" spans="1:15">
      <c r="A56" s="2" t="s">
        <v>132</v>
      </c>
      <c r="B56" s="2" t="s">
        <v>14</v>
      </c>
      <c r="C56" s="3" t="s">
        <v>133</v>
      </c>
      <c r="D56" s="2" t="s">
        <v>43</v>
      </c>
      <c r="E56" s="2" t="str">
        <f t="shared" si="0"/>
        <v>#AppleWatchUltra2#HealthTech</v>
      </c>
      <c r="F56" s="2" t="s">
        <v>17</v>
      </c>
      <c r="G56" s="2" t="s">
        <v>18</v>
      </c>
      <c r="H56" s="2" t="str">
        <f t="shared" si="1"/>
        <v>#AppleWatchUltra2</v>
      </c>
      <c r="I56" s="8">
        <v>6976</v>
      </c>
      <c r="J56" s="8">
        <v>1320</v>
      </c>
      <c r="K56" s="8">
        <v>393</v>
      </c>
      <c r="L56" s="8">
        <v>2285</v>
      </c>
      <c r="M56" s="9">
        <v>14049</v>
      </c>
      <c r="N56" s="2">
        <v>101367</v>
      </c>
      <c r="O56" s="2" t="s">
        <v>62</v>
      </c>
    </row>
    <row r="57" spans="1:15">
      <c r="A57" s="2" t="s">
        <v>134</v>
      </c>
      <c r="B57" s="2" t="s">
        <v>21</v>
      </c>
      <c r="C57" s="3" t="s">
        <v>135</v>
      </c>
      <c r="D57" s="2" t="s">
        <v>28</v>
      </c>
      <c r="E57" s="2" t="str">
        <f t="shared" si="0"/>
        <v>#iPhone16Launch#AppleEvent</v>
      </c>
      <c r="F57" s="2" t="s">
        <v>55</v>
      </c>
      <c r="G57" s="2" t="s">
        <v>35</v>
      </c>
      <c r="H57" s="2" t="str">
        <f t="shared" si="1"/>
        <v>#iPhone16Launch</v>
      </c>
      <c r="I57" s="8">
        <v>14775</v>
      </c>
      <c r="J57" s="8">
        <v>1220</v>
      </c>
      <c r="K57" s="8">
        <v>640</v>
      </c>
      <c r="L57" s="8">
        <v>1547</v>
      </c>
      <c r="M57" s="9">
        <v>28527</v>
      </c>
      <c r="N57" s="2">
        <v>183660</v>
      </c>
      <c r="O57" s="2" t="s">
        <v>62</v>
      </c>
    </row>
    <row r="58" spans="1:15">
      <c r="A58" s="2" t="s">
        <v>136</v>
      </c>
      <c r="B58" s="2" t="s">
        <v>21</v>
      </c>
      <c r="C58" s="3" t="s">
        <v>137</v>
      </c>
      <c r="D58" s="2" t="s">
        <v>34</v>
      </c>
      <c r="E58" s="2" t="str">
        <f t="shared" si="0"/>
        <v>#AppleEvent#iPhone16</v>
      </c>
      <c r="F58" s="2" t="s">
        <v>35</v>
      </c>
      <c r="G58" s="2" t="s">
        <v>69</v>
      </c>
      <c r="H58" s="2" t="str">
        <f t="shared" si="1"/>
        <v>#AppleEvent</v>
      </c>
      <c r="I58" s="8">
        <v>12015</v>
      </c>
      <c r="J58" s="8">
        <v>1196</v>
      </c>
      <c r="K58" s="8">
        <v>998</v>
      </c>
      <c r="L58" s="8">
        <v>1848</v>
      </c>
      <c r="M58" s="9">
        <v>44739</v>
      </c>
      <c r="N58" s="2">
        <v>161750</v>
      </c>
      <c r="O58" s="2" t="s">
        <v>62</v>
      </c>
    </row>
    <row r="59" spans="1:15">
      <c r="A59" s="2" t="s">
        <v>138</v>
      </c>
      <c r="B59" s="2" t="s">
        <v>26</v>
      </c>
      <c r="C59" s="3" t="s">
        <v>139</v>
      </c>
      <c r="D59" s="2" t="s">
        <v>43</v>
      </c>
      <c r="E59" s="2" t="str">
        <f t="shared" si="0"/>
        <v>#AppleDesign#Innovation</v>
      </c>
      <c r="F59" s="2" t="s">
        <v>29</v>
      </c>
      <c r="G59" s="2" t="s">
        <v>30</v>
      </c>
      <c r="H59" s="2" t="str">
        <f t="shared" si="1"/>
        <v>#AppleDesign</v>
      </c>
      <c r="I59" s="8">
        <v>5419</v>
      </c>
      <c r="J59" s="8">
        <v>1150</v>
      </c>
      <c r="K59" s="8">
        <v>656</v>
      </c>
      <c r="L59" s="8">
        <v>1990</v>
      </c>
      <c r="M59" s="9">
        <v>410</v>
      </c>
      <c r="N59" s="2">
        <v>158154</v>
      </c>
      <c r="O59" s="2" t="s">
        <v>31</v>
      </c>
    </row>
    <row r="60" spans="1:15">
      <c r="A60" s="2" t="s">
        <v>140</v>
      </c>
      <c r="B60" s="2" t="s">
        <v>14</v>
      </c>
      <c r="C60" s="3" t="s">
        <v>141</v>
      </c>
      <c r="D60" s="2" t="s">
        <v>16</v>
      </c>
      <c r="E60" s="2" t="str">
        <f t="shared" si="0"/>
        <v>#AppleWatch#Health</v>
      </c>
      <c r="F60" s="2" t="s">
        <v>48</v>
      </c>
      <c r="G60" s="2" t="s">
        <v>49</v>
      </c>
      <c r="H60" s="2" t="str">
        <f t="shared" si="1"/>
        <v>#AppleWatch</v>
      </c>
      <c r="I60" s="8">
        <v>16430</v>
      </c>
      <c r="J60" s="8">
        <v>488</v>
      </c>
      <c r="K60" s="8">
        <v>514</v>
      </c>
      <c r="L60" s="8">
        <v>1436</v>
      </c>
      <c r="M60" s="9">
        <v>30059</v>
      </c>
      <c r="N60" s="2">
        <v>223305</v>
      </c>
      <c r="O60" s="2" t="s">
        <v>37</v>
      </c>
    </row>
    <row r="61" spans="1:15">
      <c r="A61" s="2" t="s">
        <v>142</v>
      </c>
      <c r="B61" s="2" t="s">
        <v>26</v>
      </c>
      <c r="C61" s="3" t="s">
        <v>143</v>
      </c>
      <c r="D61" s="2" t="s">
        <v>28</v>
      </c>
      <c r="E61" s="2" t="str">
        <f t="shared" si="0"/>
        <v>#AppleWatch#Health</v>
      </c>
      <c r="F61" s="2" t="s">
        <v>48</v>
      </c>
      <c r="G61" s="2" t="s">
        <v>49</v>
      </c>
      <c r="H61" s="2" t="str">
        <f t="shared" si="1"/>
        <v>#AppleWatch</v>
      </c>
      <c r="I61" s="8">
        <v>9239</v>
      </c>
      <c r="J61" s="8">
        <v>1477</v>
      </c>
      <c r="K61" s="8">
        <v>631</v>
      </c>
      <c r="L61" s="8">
        <v>1556</v>
      </c>
      <c r="M61" s="9">
        <v>11580</v>
      </c>
      <c r="N61" s="2">
        <v>84738</v>
      </c>
      <c r="O61" s="2" t="s">
        <v>31</v>
      </c>
    </row>
    <row r="62" spans="1:15">
      <c r="A62" s="2" t="s">
        <v>144</v>
      </c>
      <c r="B62" s="2" t="s">
        <v>14</v>
      </c>
      <c r="C62" s="3" t="s">
        <v>145</v>
      </c>
      <c r="D62" s="2" t="s">
        <v>43</v>
      </c>
      <c r="E62" s="2" t="str">
        <f t="shared" si="0"/>
        <v>#MacBookProM3</v>
      </c>
      <c r="F62" s="2" t="s">
        <v>92</v>
      </c>
      <c r="G62" s="2"/>
      <c r="H62" s="2" t="str">
        <f t="shared" si="1"/>
        <v>#MacBookProM3</v>
      </c>
      <c r="I62" s="8">
        <v>16489</v>
      </c>
      <c r="J62" s="8">
        <v>395</v>
      </c>
      <c r="K62" s="8">
        <v>350</v>
      </c>
      <c r="L62" s="8">
        <v>2364</v>
      </c>
      <c r="M62" s="9">
        <v>43239</v>
      </c>
      <c r="N62" s="2">
        <v>73397</v>
      </c>
      <c r="O62" s="2" t="s">
        <v>62</v>
      </c>
    </row>
    <row r="63" spans="1:15">
      <c r="A63" s="2" t="s">
        <v>146</v>
      </c>
      <c r="B63" s="2" t="s">
        <v>14</v>
      </c>
      <c r="C63" s="4">
        <v>45920</v>
      </c>
      <c r="D63" s="2" t="s">
        <v>16</v>
      </c>
      <c r="E63" s="2" t="str">
        <f t="shared" si="0"/>
        <v>#AppleEvent#iPhone16</v>
      </c>
      <c r="F63" s="2" t="s">
        <v>35</v>
      </c>
      <c r="G63" s="2" t="s">
        <v>69</v>
      </c>
      <c r="H63" s="2" t="str">
        <f t="shared" si="1"/>
        <v>#AppleEvent</v>
      </c>
      <c r="I63" s="8">
        <v>18633</v>
      </c>
      <c r="J63" s="8">
        <v>797</v>
      </c>
      <c r="K63" s="8">
        <v>303</v>
      </c>
      <c r="L63" s="8">
        <v>659</v>
      </c>
      <c r="M63" s="9">
        <v>7</v>
      </c>
      <c r="N63" s="2">
        <v>122189</v>
      </c>
      <c r="O63" s="2" t="s">
        <v>24</v>
      </c>
    </row>
    <row r="64" spans="1:15">
      <c r="A64" s="2" t="s">
        <v>147</v>
      </c>
      <c r="B64" s="2" t="s">
        <v>26</v>
      </c>
      <c r="C64" s="3" t="s">
        <v>98</v>
      </c>
      <c r="D64" s="2" t="s">
        <v>16</v>
      </c>
      <c r="E64" s="2" t="str">
        <f t="shared" si="0"/>
        <v>#AppleWatchUltra2#HealthTech</v>
      </c>
      <c r="F64" s="2" t="s">
        <v>17</v>
      </c>
      <c r="G64" s="2" t="s">
        <v>18</v>
      </c>
      <c r="H64" s="2" t="str">
        <f t="shared" si="1"/>
        <v>#AppleWatchUltra2</v>
      </c>
      <c r="I64" s="8">
        <v>12357</v>
      </c>
      <c r="J64" s="8">
        <v>716</v>
      </c>
      <c r="K64" s="8">
        <v>599</v>
      </c>
      <c r="L64" s="8">
        <v>999</v>
      </c>
      <c r="M64" s="9">
        <v>89591</v>
      </c>
      <c r="N64" s="2">
        <v>116367</v>
      </c>
      <c r="O64" s="2" t="s">
        <v>19</v>
      </c>
    </row>
    <row r="65" spans="1:15">
      <c r="A65" s="2" t="s">
        <v>148</v>
      </c>
      <c r="B65" s="2" t="s">
        <v>26</v>
      </c>
      <c r="C65" s="3" t="s">
        <v>149</v>
      </c>
      <c r="D65" s="2" t="s">
        <v>34</v>
      </c>
      <c r="E65" s="2" t="str">
        <f t="shared" si="0"/>
        <v>#ShotOniPhone</v>
      </c>
      <c r="F65" s="2" t="s">
        <v>40</v>
      </c>
      <c r="G65" s="2"/>
      <c r="H65" s="2" t="str">
        <f t="shared" si="1"/>
        <v>#ShotOniPhone</v>
      </c>
      <c r="I65" s="8">
        <v>19154</v>
      </c>
      <c r="J65" s="8">
        <v>1064</v>
      </c>
      <c r="K65" s="8">
        <v>650</v>
      </c>
      <c r="L65" s="8">
        <v>747</v>
      </c>
      <c r="M65" s="9">
        <v>42667</v>
      </c>
      <c r="N65" s="2">
        <v>242332</v>
      </c>
      <c r="O65" s="2" t="s">
        <v>31</v>
      </c>
    </row>
    <row r="66" spans="1:15">
      <c r="A66" s="2" t="s">
        <v>150</v>
      </c>
      <c r="B66" s="2" t="s">
        <v>14</v>
      </c>
      <c r="C66" s="3" t="s">
        <v>151</v>
      </c>
      <c r="D66" s="2" t="s">
        <v>28</v>
      </c>
      <c r="E66" s="2" t="str">
        <f t="shared" si="0"/>
        <v>#AppleWatchUltra2#HealthTech</v>
      </c>
      <c r="F66" s="2" t="s">
        <v>17</v>
      </c>
      <c r="G66" s="2" t="s">
        <v>18</v>
      </c>
      <c r="H66" s="2" t="str">
        <f t="shared" si="1"/>
        <v>#AppleWatchUltra2</v>
      </c>
      <c r="I66" s="8">
        <v>6363</v>
      </c>
      <c r="J66" s="8">
        <v>1341</v>
      </c>
      <c r="K66" s="8">
        <v>222</v>
      </c>
      <c r="L66" s="8">
        <v>2712</v>
      </c>
      <c r="M66" s="9">
        <v>19987</v>
      </c>
      <c r="N66" s="2">
        <v>160585</v>
      </c>
      <c r="O66" s="2" t="s">
        <v>31</v>
      </c>
    </row>
    <row r="67" spans="1:15">
      <c r="A67" s="2" t="s">
        <v>152</v>
      </c>
      <c r="B67" s="2" t="s">
        <v>53</v>
      </c>
      <c r="C67" s="3" t="s">
        <v>153</v>
      </c>
      <c r="D67" s="2" t="s">
        <v>28</v>
      </c>
      <c r="E67" s="2" t="str">
        <f t="shared" ref="E67:E130" si="2">CONCATENATE(F67,G67)</f>
        <v>#AppleWatch#Health</v>
      </c>
      <c r="F67" s="2" t="s">
        <v>48</v>
      </c>
      <c r="G67" s="2" t="s">
        <v>49</v>
      </c>
      <c r="H67" s="2" t="str">
        <f t="shared" ref="H67:H130" si="3">IF(F67&lt;&gt;"",F67,G67)</f>
        <v>#AppleWatch</v>
      </c>
      <c r="I67" s="8">
        <v>12176</v>
      </c>
      <c r="J67" s="8">
        <v>1005</v>
      </c>
      <c r="K67" s="8">
        <v>862</v>
      </c>
      <c r="L67" s="8">
        <v>974</v>
      </c>
      <c r="M67" s="9">
        <v>2285</v>
      </c>
      <c r="N67" s="2">
        <v>116619</v>
      </c>
      <c r="O67" s="2" t="s">
        <v>37</v>
      </c>
    </row>
    <row r="68" spans="1:15">
      <c r="A68" s="2" t="s">
        <v>154</v>
      </c>
      <c r="B68" s="2" t="s">
        <v>21</v>
      </c>
      <c r="C68" s="3" t="s">
        <v>155</v>
      </c>
      <c r="D68" s="2" t="s">
        <v>34</v>
      </c>
      <c r="E68" s="2" t="str">
        <f t="shared" si="2"/>
        <v>#AppleWatch#Health</v>
      </c>
      <c r="F68" s="2" t="s">
        <v>48</v>
      </c>
      <c r="G68" s="2" t="s">
        <v>49</v>
      </c>
      <c r="H68" s="2" t="str">
        <f t="shared" si="3"/>
        <v>#AppleWatch</v>
      </c>
      <c r="I68" s="8">
        <v>19461</v>
      </c>
      <c r="J68" s="8">
        <v>1382</v>
      </c>
      <c r="K68" s="8">
        <v>445</v>
      </c>
      <c r="L68" s="8">
        <v>1307</v>
      </c>
      <c r="M68" s="9">
        <v>84691</v>
      </c>
      <c r="N68" s="2">
        <v>151453</v>
      </c>
      <c r="O68" s="2" t="s">
        <v>37</v>
      </c>
    </row>
    <row r="69" spans="1:15">
      <c r="A69" s="2" t="s">
        <v>156</v>
      </c>
      <c r="B69" s="2" t="s">
        <v>26</v>
      </c>
      <c r="C69" s="3" t="s">
        <v>157</v>
      </c>
      <c r="D69" s="2" t="s">
        <v>34</v>
      </c>
      <c r="E69" s="2" t="str">
        <f t="shared" si="2"/>
        <v>#MacBookAirM3#AppleInnovation</v>
      </c>
      <c r="F69" s="2" t="s">
        <v>22</v>
      </c>
      <c r="G69" s="2" t="s">
        <v>23</v>
      </c>
      <c r="H69" s="2" t="str">
        <f t="shared" si="3"/>
        <v>#MacBookAirM3</v>
      </c>
      <c r="I69" s="8">
        <v>10427</v>
      </c>
      <c r="J69" s="8">
        <v>1014</v>
      </c>
      <c r="K69" s="8">
        <v>166</v>
      </c>
      <c r="L69" s="8">
        <v>1649</v>
      </c>
      <c r="M69" s="9">
        <v>15145</v>
      </c>
      <c r="N69" s="2">
        <v>59816</v>
      </c>
      <c r="O69" s="2" t="s">
        <v>31</v>
      </c>
    </row>
    <row r="70" spans="1:15">
      <c r="A70" s="2" t="s">
        <v>158</v>
      </c>
      <c r="B70" s="2" t="s">
        <v>21</v>
      </c>
      <c r="C70" s="3" t="s">
        <v>159</v>
      </c>
      <c r="D70" s="2" t="s">
        <v>28</v>
      </c>
      <c r="E70" s="2" t="str">
        <f t="shared" si="2"/>
        <v>#AppleWatch#Health</v>
      </c>
      <c r="F70" s="2" t="s">
        <v>48</v>
      </c>
      <c r="G70" s="2" t="s">
        <v>49</v>
      </c>
      <c r="H70" s="2" t="str">
        <f t="shared" si="3"/>
        <v>#AppleWatch</v>
      </c>
      <c r="I70" s="8">
        <v>10580</v>
      </c>
      <c r="J70" s="8">
        <v>427</v>
      </c>
      <c r="K70" s="8">
        <v>790</v>
      </c>
      <c r="L70" s="8">
        <v>2814</v>
      </c>
      <c r="M70" s="9">
        <v>24916</v>
      </c>
      <c r="N70" s="2">
        <v>213312</v>
      </c>
      <c r="O70" s="2" t="s">
        <v>62</v>
      </c>
    </row>
    <row r="71" spans="1:15">
      <c r="A71" s="2" t="s">
        <v>160</v>
      </c>
      <c r="B71" s="2" t="s">
        <v>53</v>
      </c>
      <c r="C71" s="3" t="s">
        <v>161</v>
      </c>
      <c r="D71" s="2" t="s">
        <v>28</v>
      </c>
      <c r="E71" s="2" t="str">
        <f t="shared" si="2"/>
        <v>#iPhone16Launch#AppleEvent</v>
      </c>
      <c r="F71" s="2" t="s">
        <v>55</v>
      </c>
      <c r="G71" s="2" t="s">
        <v>35</v>
      </c>
      <c r="H71" s="2" t="str">
        <f t="shared" si="3"/>
        <v>#iPhone16Launch</v>
      </c>
      <c r="I71" s="8">
        <v>6858</v>
      </c>
      <c r="J71" s="8">
        <v>415</v>
      </c>
      <c r="K71" s="8">
        <v>366</v>
      </c>
      <c r="L71" s="8">
        <v>2761</v>
      </c>
      <c r="M71" s="9">
        <v>2988</v>
      </c>
      <c r="N71" s="2">
        <v>177348</v>
      </c>
      <c r="O71" s="2" t="s">
        <v>19</v>
      </c>
    </row>
    <row r="72" spans="1:15">
      <c r="A72" s="2" t="s">
        <v>162</v>
      </c>
      <c r="B72" s="2" t="s">
        <v>53</v>
      </c>
      <c r="C72" s="3" t="s">
        <v>163</v>
      </c>
      <c r="D72" s="2" t="s">
        <v>43</v>
      </c>
      <c r="E72" s="2" t="str">
        <f t="shared" si="2"/>
        <v>#AppleEvent#iPadPro</v>
      </c>
      <c r="F72" s="2" t="s">
        <v>35</v>
      </c>
      <c r="G72" s="2" t="s">
        <v>36</v>
      </c>
      <c r="H72" s="2" t="str">
        <f t="shared" si="3"/>
        <v>#AppleEvent</v>
      </c>
      <c r="I72" s="8">
        <v>12040</v>
      </c>
      <c r="J72" s="8">
        <v>1147</v>
      </c>
      <c r="K72" s="8">
        <v>210</v>
      </c>
      <c r="L72" s="8">
        <v>885</v>
      </c>
      <c r="M72" s="9">
        <v>30360</v>
      </c>
      <c r="N72" s="2">
        <v>119530</v>
      </c>
      <c r="O72" s="2" t="s">
        <v>37</v>
      </c>
    </row>
    <row r="73" spans="1:15">
      <c r="A73" s="2" t="s">
        <v>164</v>
      </c>
      <c r="B73" s="2" t="s">
        <v>53</v>
      </c>
      <c r="C73" s="3" t="s">
        <v>165</v>
      </c>
      <c r="D73" s="2" t="s">
        <v>43</v>
      </c>
      <c r="E73" s="2" t="str">
        <f t="shared" si="2"/>
        <v>#AppleEvent#iPhone16</v>
      </c>
      <c r="F73" s="2" t="s">
        <v>35</v>
      </c>
      <c r="G73" s="2" t="s">
        <v>69</v>
      </c>
      <c r="H73" s="2" t="str">
        <f t="shared" si="3"/>
        <v>#AppleEvent</v>
      </c>
      <c r="I73" s="8">
        <v>24928</v>
      </c>
      <c r="J73" s="8">
        <v>214</v>
      </c>
      <c r="K73" s="8">
        <v>765</v>
      </c>
      <c r="L73" s="8">
        <v>1556</v>
      </c>
      <c r="M73" s="9">
        <v>5239</v>
      </c>
      <c r="N73" s="2">
        <v>194571</v>
      </c>
      <c r="O73" s="2" t="s">
        <v>62</v>
      </c>
    </row>
    <row r="74" spans="1:15">
      <c r="A74" s="2" t="s">
        <v>166</v>
      </c>
      <c r="B74" s="2" t="s">
        <v>26</v>
      </c>
      <c r="C74" s="4">
        <v>45921</v>
      </c>
      <c r="D74" s="2" t="s">
        <v>34</v>
      </c>
      <c r="E74" s="2" t="str">
        <f t="shared" si="2"/>
        <v>#AppleWatchUltra2#HealthTech</v>
      </c>
      <c r="F74" s="2" t="s">
        <v>17</v>
      </c>
      <c r="G74" s="2" t="s">
        <v>18</v>
      </c>
      <c r="H74" s="2" t="str">
        <f t="shared" si="3"/>
        <v>#AppleWatchUltra2</v>
      </c>
      <c r="I74" s="8">
        <v>23103</v>
      </c>
      <c r="J74" s="8">
        <v>1380</v>
      </c>
      <c r="K74" s="8">
        <v>191</v>
      </c>
      <c r="L74" s="8">
        <v>1547</v>
      </c>
      <c r="M74" s="9">
        <v>77798</v>
      </c>
      <c r="N74" s="2">
        <v>148856</v>
      </c>
      <c r="O74" s="2" t="s">
        <v>24</v>
      </c>
    </row>
    <row r="75" spans="1:15">
      <c r="A75" s="2" t="s">
        <v>167</v>
      </c>
      <c r="B75" s="2" t="s">
        <v>53</v>
      </c>
      <c r="C75" s="3" t="s">
        <v>168</v>
      </c>
      <c r="D75" s="2" t="s">
        <v>43</v>
      </c>
      <c r="E75" s="2" t="str">
        <f t="shared" si="2"/>
        <v>#AppleEvent#iPadPro</v>
      </c>
      <c r="F75" s="2" t="s">
        <v>35</v>
      </c>
      <c r="G75" s="2" t="s">
        <v>36</v>
      </c>
      <c r="H75" s="2" t="str">
        <f t="shared" si="3"/>
        <v>#AppleEvent</v>
      </c>
      <c r="I75" s="8">
        <v>21198</v>
      </c>
      <c r="J75" s="8">
        <v>1484</v>
      </c>
      <c r="K75" s="8">
        <v>174</v>
      </c>
      <c r="L75" s="8">
        <v>1293</v>
      </c>
      <c r="M75" s="9">
        <v>16330</v>
      </c>
      <c r="N75" s="2">
        <v>111635</v>
      </c>
      <c r="O75" s="2" t="s">
        <v>37</v>
      </c>
    </row>
    <row r="76" spans="1:15">
      <c r="A76" s="2" t="s">
        <v>169</v>
      </c>
      <c r="B76" s="2" t="s">
        <v>26</v>
      </c>
      <c r="C76" s="3" t="s">
        <v>170</v>
      </c>
      <c r="D76" s="2" t="s">
        <v>16</v>
      </c>
      <c r="E76" s="2" t="str">
        <f t="shared" si="2"/>
        <v>#AppleDesign#Innovation</v>
      </c>
      <c r="F76" s="2" t="s">
        <v>29</v>
      </c>
      <c r="G76" s="2" t="s">
        <v>30</v>
      </c>
      <c r="H76" s="2" t="str">
        <f t="shared" si="3"/>
        <v>#AppleDesign</v>
      </c>
      <c r="I76" s="8">
        <v>21758</v>
      </c>
      <c r="J76" s="8">
        <v>1380</v>
      </c>
      <c r="K76" s="8">
        <v>188</v>
      </c>
      <c r="L76" s="8">
        <v>1735</v>
      </c>
      <c r="M76" s="9">
        <v>20998</v>
      </c>
      <c r="N76" s="2">
        <v>147803</v>
      </c>
      <c r="O76" s="2" t="s">
        <v>62</v>
      </c>
    </row>
    <row r="77" spans="1:15">
      <c r="A77" s="2" t="s">
        <v>171</v>
      </c>
      <c r="B77" s="2" t="s">
        <v>53</v>
      </c>
      <c r="C77" s="3" t="s">
        <v>172</v>
      </c>
      <c r="D77" s="2" t="s">
        <v>43</v>
      </c>
      <c r="E77" s="2" t="str">
        <f t="shared" si="2"/>
        <v>#ShotOniPhone</v>
      </c>
      <c r="F77" s="2" t="s">
        <v>40</v>
      </c>
      <c r="G77" s="2"/>
      <c r="H77" s="2" t="str">
        <f t="shared" si="3"/>
        <v>#ShotOniPhone</v>
      </c>
      <c r="I77" s="8">
        <v>17254</v>
      </c>
      <c r="J77" s="8">
        <v>246</v>
      </c>
      <c r="K77" s="8">
        <v>952</v>
      </c>
      <c r="L77" s="8">
        <v>871</v>
      </c>
      <c r="M77" s="9">
        <v>14957</v>
      </c>
      <c r="N77" s="2">
        <v>75946</v>
      </c>
      <c r="O77" s="2" t="s">
        <v>62</v>
      </c>
    </row>
    <row r="78" spans="1:15">
      <c r="A78" s="2" t="s">
        <v>173</v>
      </c>
      <c r="B78" s="2" t="s">
        <v>21</v>
      </c>
      <c r="C78" s="3" t="s">
        <v>90</v>
      </c>
      <c r="D78" s="2" t="s">
        <v>43</v>
      </c>
      <c r="E78" s="2" t="str">
        <f t="shared" si="2"/>
        <v>#iPhone16Launch#AppleEvent</v>
      </c>
      <c r="F78" s="2" t="s">
        <v>55</v>
      </c>
      <c r="G78" s="2" t="s">
        <v>35</v>
      </c>
      <c r="H78" s="2" t="str">
        <f t="shared" si="3"/>
        <v>#iPhone16Launch</v>
      </c>
      <c r="I78" s="8">
        <v>13470</v>
      </c>
      <c r="J78" s="8">
        <v>523</v>
      </c>
      <c r="K78" s="8">
        <v>280</v>
      </c>
      <c r="L78" s="8">
        <v>2682</v>
      </c>
      <c r="M78" s="9">
        <v>8538</v>
      </c>
      <c r="N78" s="2">
        <v>95204</v>
      </c>
      <c r="O78" s="2" t="s">
        <v>19</v>
      </c>
    </row>
    <row r="79" spans="1:15">
      <c r="A79" s="2" t="s">
        <v>174</v>
      </c>
      <c r="B79" s="2" t="s">
        <v>21</v>
      </c>
      <c r="C79" s="3" t="s">
        <v>133</v>
      </c>
      <c r="D79" s="2" t="s">
        <v>16</v>
      </c>
      <c r="E79" s="2" t="str">
        <f t="shared" si="2"/>
        <v>#AppleMusic#AppleLifestyle</v>
      </c>
      <c r="F79" s="2" t="s">
        <v>44</v>
      </c>
      <c r="G79" s="2" t="s">
        <v>45</v>
      </c>
      <c r="H79" s="2" t="str">
        <f t="shared" si="3"/>
        <v>#AppleMusic</v>
      </c>
      <c r="I79" s="8">
        <v>3252</v>
      </c>
      <c r="J79" s="8">
        <v>1043</v>
      </c>
      <c r="K79" s="8">
        <v>647</v>
      </c>
      <c r="L79" s="8">
        <v>1545</v>
      </c>
      <c r="M79" s="9">
        <v>18859</v>
      </c>
      <c r="N79" s="2">
        <v>222958</v>
      </c>
      <c r="O79" s="2" t="s">
        <v>19</v>
      </c>
    </row>
    <row r="80" spans="1:15">
      <c r="A80" s="2" t="s">
        <v>175</v>
      </c>
      <c r="B80" s="2" t="s">
        <v>14</v>
      </c>
      <c r="C80" s="4">
        <v>45922</v>
      </c>
      <c r="D80" s="2" t="s">
        <v>34</v>
      </c>
      <c r="E80" s="2" t="str">
        <f t="shared" si="2"/>
        <v>#Sustainability#AppleEarth</v>
      </c>
      <c r="F80" s="2" t="s">
        <v>176</v>
      </c>
      <c r="G80" s="2" t="s">
        <v>177</v>
      </c>
      <c r="H80" s="2" t="str">
        <f t="shared" si="3"/>
        <v>#Sustainability</v>
      </c>
      <c r="I80" s="8">
        <v>8996</v>
      </c>
      <c r="J80" s="8">
        <v>329</v>
      </c>
      <c r="K80" s="8">
        <v>378</v>
      </c>
      <c r="L80" s="8">
        <v>2384</v>
      </c>
      <c r="M80" s="9">
        <v>39404</v>
      </c>
      <c r="N80" s="2">
        <v>242724</v>
      </c>
      <c r="O80" s="2" t="s">
        <v>24</v>
      </c>
    </row>
    <row r="81" spans="1:15">
      <c r="A81" s="2" t="s">
        <v>178</v>
      </c>
      <c r="B81" s="2" t="s">
        <v>21</v>
      </c>
      <c r="C81" s="3" t="s">
        <v>127</v>
      </c>
      <c r="D81" s="2" t="s">
        <v>16</v>
      </c>
      <c r="E81" s="2" t="str">
        <f t="shared" si="2"/>
        <v>#AppleWatchUltra2#HealthTech</v>
      </c>
      <c r="F81" s="2" t="s">
        <v>17</v>
      </c>
      <c r="G81" s="2" t="s">
        <v>18</v>
      </c>
      <c r="H81" s="2" t="str">
        <f t="shared" si="3"/>
        <v>#AppleWatchUltra2</v>
      </c>
      <c r="I81" s="8">
        <v>14173</v>
      </c>
      <c r="J81" s="8">
        <v>294</v>
      </c>
      <c r="K81" s="8">
        <v>257</v>
      </c>
      <c r="L81" s="8">
        <v>1288</v>
      </c>
      <c r="M81" s="9">
        <v>39466</v>
      </c>
      <c r="N81" s="2">
        <v>55563</v>
      </c>
      <c r="O81" s="2" t="s">
        <v>62</v>
      </c>
    </row>
    <row r="82" spans="1:15">
      <c r="A82" s="2" t="s">
        <v>179</v>
      </c>
      <c r="B82" s="2" t="s">
        <v>14</v>
      </c>
      <c r="C82" s="3" t="s">
        <v>180</v>
      </c>
      <c r="D82" s="2" t="s">
        <v>43</v>
      </c>
      <c r="E82" s="2" t="str">
        <f t="shared" si="2"/>
        <v>#AppleEvent#iPadPro</v>
      </c>
      <c r="F82" s="2" t="s">
        <v>35</v>
      </c>
      <c r="G82" s="2" t="s">
        <v>36</v>
      </c>
      <c r="H82" s="2" t="str">
        <f t="shared" si="3"/>
        <v>#AppleEvent</v>
      </c>
      <c r="I82" s="8">
        <v>6673</v>
      </c>
      <c r="J82" s="8">
        <v>826</v>
      </c>
      <c r="K82" s="8">
        <v>321</v>
      </c>
      <c r="L82" s="8">
        <v>577</v>
      </c>
      <c r="M82" s="9">
        <v>19262</v>
      </c>
      <c r="N82" s="2">
        <v>132324</v>
      </c>
      <c r="O82" s="2" t="s">
        <v>62</v>
      </c>
    </row>
    <row r="83" spans="1:15">
      <c r="A83" s="2" t="s">
        <v>181</v>
      </c>
      <c r="B83" s="2" t="s">
        <v>21</v>
      </c>
      <c r="C83" s="3" t="s">
        <v>182</v>
      </c>
      <c r="D83" s="2" t="s">
        <v>34</v>
      </c>
      <c r="E83" s="2" t="str">
        <f t="shared" si="2"/>
        <v>#AppleMusic#AppleLifestyle</v>
      </c>
      <c r="F83" s="2" t="s">
        <v>44</v>
      </c>
      <c r="G83" s="2" t="s">
        <v>45</v>
      </c>
      <c r="H83" s="2" t="str">
        <f t="shared" si="3"/>
        <v>#AppleMusic</v>
      </c>
      <c r="I83" s="8">
        <v>22914</v>
      </c>
      <c r="J83" s="8">
        <v>954</v>
      </c>
      <c r="K83" s="8">
        <v>584</v>
      </c>
      <c r="L83" s="8">
        <v>1519</v>
      </c>
      <c r="M83" s="9">
        <v>13637</v>
      </c>
      <c r="N83" s="2">
        <v>49847</v>
      </c>
      <c r="O83" s="2" t="s">
        <v>19</v>
      </c>
    </row>
    <row r="84" spans="1:15">
      <c r="A84" s="2" t="s">
        <v>183</v>
      </c>
      <c r="B84" s="2" t="s">
        <v>26</v>
      </c>
      <c r="C84" s="3" t="s">
        <v>184</v>
      </c>
      <c r="D84" s="2" t="s">
        <v>43</v>
      </c>
      <c r="E84" s="2" t="str">
        <f t="shared" si="2"/>
        <v>#ShotOniPhone</v>
      </c>
      <c r="F84" s="2" t="s">
        <v>40</v>
      </c>
      <c r="G84" s="2"/>
      <c r="H84" s="2" t="str">
        <f t="shared" si="3"/>
        <v>#ShotOniPhone</v>
      </c>
      <c r="I84" s="8">
        <v>17781</v>
      </c>
      <c r="J84" s="8">
        <v>993</v>
      </c>
      <c r="K84" s="8">
        <v>627</v>
      </c>
      <c r="L84" s="8">
        <v>2187</v>
      </c>
      <c r="M84" s="9">
        <v>9609</v>
      </c>
      <c r="N84" s="2">
        <v>66155</v>
      </c>
      <c r="O84" s="2" t="s">
        <v>37</v>
      </c>
    </row>
    <row r="85" spans="1:15">
      <c r="A85" s="2" t="s">
        <v>185</v>
      </c>
      <c r="B85" s="2" t="s">
        <v>21</v>
      </c>
      <c r="C85" s="3" t="s">
        <v>186</v>
      </c>
      <c r="D85" s="2" t="s">
        <v>16</v>
      </c>
      <c r="E85" s="2" t="str">
        <f t="shared" si="2"/>
        <v>#MacBookAirM3#AppleInnovation</v>
      </c>
      <c r="F85" s="2" t="s">
        <v>22</v>
      </c>
      <c r="G85" s="2" t="s">
        <v>23</v>
      </c>
      <c r="H85" s="2" t="str">
        <f t="shared" si="3"/>
        <v>#MacBookAirM3</v>
      </c>
      <c r="I85" s="8">
        <v>15051</v>
      </c>
      <c r="J85" s="8">
        <v>268</v>
      </c>
      <c r="K85" s="8">
        <v>251</v>
      </c>
      <c r="L85" s="8">
        <v>783</v>
      </c>
      <c r="M85" s="9">
        <v>34154</v>
      </c>
      <c r="N85" s="2">
        <v>119671</v>
      </c>
      <c r="O85" s="2" t="s">
        <v>37</v>
      </c>
    </row>
    <row r="86" spans="1:15">
      <c r="A86" s="2" t="s">
        <v>187</v>
      </c>
      <c r="B86" s="2" t="s">
        <v>14</v>
      </c>
      <c r="C86" s="3" t="s">
        <v>104</v>
      </c>
      <c r="D86" s="2" t="s">
        <v>16</v>
      </c>
      <c r="E86" s="2" t="str">
        <f t="shared" si="2"/>
        <v>#AppleMusic#AppleLifestyle</v>
      </c>
      <c r="F86" s="2" t="s">
        <v>44</v>
      </c>
      <c r="G86" s="2" t="s">
        <v>45</v>
      </c>
      <c r="H86" s="2" t="str">
        <f t="shared" si="3"/>
        <v>#AppleMusic</v>
      </c>
      <c r="I86" s="8">
        <v>8881</v>
      </c>
      <c r="J86" s="8">
        <v>210</v>
      </c>
      <c r="K86" s="8">
        <v>673</v>
      </c>
      <c r="L86" s="8">
        <v>1565</v>
      </c>
      <c r="M86" s="9">
        <v>24847</v>
      </c>
      <c r="N86" s="2">
        <v>156891</v>
      </c>
      <c r="O86" s="2" t="s">
        <v>31</v>
      </c>
    </row>
    <row r="87" spans="1:15">
      <c r="A87" s="2" t="s">
        <v>188</v>
      </c>
      <c r="B87" s="2" t="s">
        <v>14</v>
      </c>
      <c r="C87" s="3" t="s">
        <v>189</v>
      </c>
      <c r="D87" s="2" t="s">
        <v>43</v>
      </c>
      <c r="E87" s="2" t="str">
        <f t="shared" si="2"/>
        <v>#iPhone16Launch#AppleEvent</v>
      </c>
      <c r="F87" s="2" t="s">
        <v>55</v>
      </c>
      <c r="G87" s="2" t="s">
        <v>35</v>
      </c>
      <c r="H87" s="2" t="str">
        <f t="shared" si="3"/>
        <v>#iPhone16Launch</v>
      </c>
      <c r="I87" s="8">
        <v>8949</v>
      </c>
      <c r="J87" s="8">
        <v>1477</v>
      </c>
      <c r="K87" s="8">
        <v>424</v>
      </c>
      <c r="L87" s="8">
        <v>1030</v>
      </c>
      <c r="M87" s="9">
        <v>58052</v>
      </c>
      <c r="N87" s="2">
        <v>123310</v>
      </c>
      <c r="O87" s="2" t="s">
        <v>19</v>
      </c>
    </row>
    <row r="88" spans="1:15">
      <c r="A88" s="2" t="s">
        <v>190</v>
      </c>
      <c r="B88" s="2" t="s">
        <v>53</v>
      </c>
      <c r="C88" s="3" t="s">
        <v>191</v>
      </c>
      <c r="D88" s="2" t="s">
        <v>28</v>
      </c>
      <c r="E88" s="2" t="str">
        <f t="shared" si="2"/>
        <v>#iPhone16Launch#AppleEvent</v>
      </c>
      <c r="F88" s="2" t="s">
        <v>55</v>
      </c>
      <c r="G88" s="2" t="s">
        <v>35</v>
      </c>
      <c r="H88" s="2" t="str">
        <f t="shared" si="3"/>
        <v>#iPhone16Launch</v>
      </c>
      <c r="I88" s="8">
        <v>11521</v>
      </c>
      <c r="J88" s="8">
        <v>1071</v>
      </c>
      <c r="K88" s="8">
        <v>762</v>
      </c>
      <c r="L88" s="8">
        <v>2539</v>
      </c>
      <c r="M88" s="9">
        <v>12701</v>
      </c>
      <c r="N88" s="2">
        <v>238350</v>
      </c>
      <c r="O88" s="2" t="s">
        <v>31</v>
      </c>
    </row>
    <row r="89" spans="1:15">
      <c r="A89" s="2" t="s">
        <v>192</v>
      </c>
      <c r="B89" s="2" t="s">
        <v>26</v>
      </c>
      <c r="C89" s="3" t="s">
        <v>193</v>
      </c>
      <c r="D89" s="2" t="s">
        <v>28</v>
      </c>
      <c r="E89" s="2" t="str">
        <f t="shared" si="2"/>
        <v>#MacBookAirM3#AppleInnovation</v>
      </c>
      <c r="F89" s="2" t="s">
        <v>22</v>
      </c>
      <c r="G89" s="2" t="s">
        <v>23</v>
      </c>
      <c r="H89" s="2" t="str">
        <f t="shared" si="3"/>
        <v>#MacBookAirM3</v>
      </c>
      <c r="I89" s="8">
        <v>24625</v>
      </c>
      <c r="J89" s="8">
        <v>749</v>
      </c>
      <c r="K89" s="8">
        <v>193</v>
      </c>
      <c r="L89" s="8">
        <v>1340</v>
      </c>
      <c r="M89" s="9">
        <v>4890</v>
      </c>
      <c r="N89" s="2">
        <v>189381</v>
      </c>
      <c r="O89" s="2" t="s">
        <v>19</v>
      </c>
    </row>
    <row r="90" spans="1:15">
      <c r="A90" s="2" t="s">
        <v>194</v>
      </c>
      <c r="B90" s="2" t="s">
        <v>21</v>
      </c>
      <c r="C90" s="4">
        <v>45923</v>
      </c>
      <c r="D90" s="2" t="s">
        <v>16</v>
      </c>
      <c r="E90" s="2" t="str">
        <f t="shared" si="2"/>
        <v>#Sustainability#AppleEarth</v>
      </c>
      <c r="F90" s="2" t="s">
        <v>176</v>
      </c>
      <c r="G90" s="2" t="s">
        <v>177</v>
      </c>
      <c r="H90" s="2" t="str">
        <f t="shared" si="3"/>
        <v>#Sustainability</v>
      </c>
      <c r="I90" s="8">
        <v>10017</v>
      </c>
      <c r="J90" s="8">
        <v>1357</v>
      </c>
      <c r="K90" s="8">
        <v>966</v>
      </c>
      <c r="L90" s="8">
        <v>2871</v>
      </c>
      <c r="M90" s="9">
        <v>14800</v>
      </c>
      <c r="N90" s="2">
        <v>171691</v>
      </c>
      <c r="O90" s="2" t="s">
        <v>24</v>
      </c>
    </row>
    <row r="91" spans="1:15">
      <c r="A91" s="2" t="s">
        <v>195</v>
      </c>
      <c r="B91" s="2" t="s">
        <v>53</v>
      </c>
      <c r="C91" s="3" t="s">
        <v>196</v>
      </c>
      <c r="D91" s="2" t="s">
        <v>16</v>
      </c>
      <c r="E91" s="2" t="str">
        <f t="shared" si="2"/>
        <v>#AppleEvent#iPhone16</v>
      </c>
      <c r="F91" s="2" t="s">
        <v>35</v>
      </c>
      <c r="G91" s="2" t="s">
        <v>69</v>
      </c>
      <c r="H91" s="2" t="str">
        <f t="shared" si="3"/>
        <v>#AppleEvent</v>
      </c>
      <c r="I91" s="8">
        <v>8941</v>
      </c>
      <c r="J91" s="8">
        <v>911</v>
      </c>
      <c r="K91" s="8">
        <v>166</v>
      </c>
      <c r="L91" s="8">
        <v>1217</v>
      </c>
      <c r="M91" s="9">
        <v>68817</v>
      </c>
      <c r="N91" s="2">
        <v>221180</v>
      </c>
      <c r="O91" s="2" t="s">
        <v>62</v>
      </c>
    </row>
    <row r="92" spans="1:15">
      <c r="A92" s="2" t="s">
        <v>197</v>
      </c>
      <c r="B92" s="2" t="s">
        <v>21</v>
      </c>
      <c r="C92" s="4">
        <v>45924</v>
      </c>
      <c r="D92" s="2" t="s">
        <v>28</v>
      </c>
      <c r="E92" s="2" t="str">
        <f t="shared" si="2"/>
        <v>#AppleMusic#AppleLifestyle</v>
      </c>
      <c r="F92" s="2" t="s">
        <v>44</v>
      </c>
      <c r="G92" s="2" t="s">
        <v>45</v>
      </c>
      <c r="H92" s="2" t="str">
        <f t="shared" si="3"/>
        <v>#AppleMusic</v>
      </c>
      <c r="I92" s="8">
        <v>12209</v>
      </c>
      <c r="J92" s="8">
        <v>222</v>
      </c>
      <c r="K92" s="8">
        <v>479</v>
      </c>
      <c r="L92" s="8">
        <v>2748</v>
      </c>
      <c r="M92" s="9">
        <v>24615</v>
      </c>
      <c r="N92" s="2">
        <v>74707</v>
      </c>
      <c r="O92" s="2" t="s">
        <v>24</v>
      </c>
    </row>
    <row r="93" spans="1:15">
      <c r="A93" s="2" t="s">
        <v>198</v>
      </c>
      <c r="B93" s="2" t="s">
        <v>21</v>
      </c>
      <c r="C93" s="3" t="s">
        <v>137</v>
      </c>
      <c r="D93" s="2" t="s">
        <v>28</v>
      </c>
      <c r="E93" s="2" t="str">
        <f t="shared" si="2"/>
        <v>#MacBookAirM3#AppleInnovation</v>
      </c>
      <c r="F93" s="2" t="s">
        <v>22</v>
      </c>
      <c r="G93" s="2" t="s">
        <v>23</v>
      </c>
      <c r="H93" s="2" t="str">
        <f t="shared" si="3"/>
        <v>#MacBookAirM3</v>
      </c>
      <c r="I93" s="8">
        <v>19715</v>
      </c>
      <c r="J93" s="8">
        <v>1014</v>
      </c>
      <c r="K93" s="8">
        <v>718</v>
      </c>
      <c r="L93" s="8">
        <v>1185</v>
      </c>
      <c r="M93" s="9">
        <v>37625</v>
      </c>
      <c r="N93" s="2">
        <v>191409</v>
      </c>
      <c r="O93" s="2" t="s">
        <v>19</v>
      </c>
    </row>
    <row r="94" spans="1:15">
      <c r="A94" s="2" t="s">
        <v>199</v>
      </c>
      <c r="B94" s="2" t="s">
        <v>53</v>
      </c>
      <c r="C94" s="3" t="s">
        <v>200</v>
      </c>
      <c r="D94" s="2" t="s">
        <v>43</v>
      </c>
      <c r="E94" s="2" t="str">
        <f t="shared" si="2"/>
        <v>#iPhone16Launch#AppleEvent</v>
      </c>
      <c r="F94" s="2" t="s">
        <v>55</v>
      </c>
      <c r="G94" s="2" t="s">
        <v>35</v>
      </c>
      <c r="H94" s="2" t="str">
        <f t="shared" si="3"/>
        <v>#iPhone16Launch</v>
      </c>
      <c r="I94" s="8">
        <v>22645</v>
      </c>
      <c r="J94" s="8">
        <v>545</v>
      </c>
      <c r="K94" s="8">
        <v>972</v>
      </c>
      <c r="L94" s="8">
        <v>321</v>
      </c>
      <c r="M94" s="9">
        <v>8396</v>
      </c>
      <c r="N94" s="2">
        <v>121537</v>
      </c>
      <c r="O94" s="2" t="s">
        <v>62</v>
      </c>
    </row>
    <row r="95" spans="1:15">
      <c r="A95" s="2" t="s">
        <v>201</v>
      </c>
      <c r="B95" s="2" t="s">
        <v>53</v>
      </c>
      <c r="C95" s="3" t="s">
        <v>172</v>
      </c>
      <c r="D95" s="2" t="s">
        <v>43</v>
      </c>
      <c r="E95" s="2" t="str">
        <f t="shared" si="2"/>
        <v>#iPhone16Launch#AppleEvent</v>
      </c>
      <c r="F95" s="2" t="s">
        <v>55</v>
      </c>
      <c r="G95" s="2" t="s">
        <v>35</v>
      </c>
      <c r="H95" s="2" t="str">
        <f t="shared" si="3"/>
        <v>#iPhone16Launch</v>
      </c>
      <c r="I95" s="8">
        <v>11550</v>
      </c>
      <c r="J95" s="8">
        <v>501</v>
      </c>
      <c r="K95" s="8">
        <v>646</v>
      </c>
      <c r="L95" s="8">
        <v>773</v>
      </c>
      <c r="M95" s="9">
        <v>17841</v>
      </c>
      <c r="N95" s="2">
        <v>237576</v>
      </c>
      <c r="O95" s="2" t="s">
        <v>37</v>
      </c>
    </row>
    <row r="96" spans="1:15">
      <c r="A96" s="2" t="s">
        <v>202</v>
      </c>
      <c r="B96" s="2" t="s">
        <v>53</v>
      </c>
      <c r="C96" s="3" t="s">
        <v>203</v>
      </c>
      <c r="D96" s="2" t="s">
        <v>28</v>
      </c>
      <c r="E96" s="2" t="str">
        <f t="shared" si="2"/>
        <v>#AppleEvent#iPadPro</v>
      </c>
      <c r="F96" s="2" t="s">
        <v>35</v>
      </c>
      <c r="G96" s="2" t="s">
        <v>36</v>
      </c>
      <c r="H96" s="2" t="str">
        <f t="shared" si="3"/>
        <v>#AppleEvent</v>
      </c>
      <c r="I96" s="8">
        <v>23499</v>
      </c>
      <c r="J96" s="8">
        <v>562</v>
      </c>
      <c r="K96" s="8">
        <v>964</v>
      </c>
      <c r="L96" s="8">
        <v>2557</v>
      </c>
      <c r="M96" s="9">
        <v>56890</v>
      </c>
      <c r="N96" s="2">
        <v>218686</v>
      </c>
      <c r="O96" s="2" t="s">
        <v>37</v>
      </c>
    </row>
    <row r="97" spans="1:15">
      <c r="A97" s="2" t="s">
        <v>204</v>
      </c>
      <c r="B97" s="2" t="s">
        <v>53</v>
      </c>
      <c r="C97" s="3" t="s">
        <v>205</v>
      </c>
      <c r="D97" s="2" t="s">
        <v>43</v>
      </c>
      <c r="E97" s="2" t="str">
        <f t="shared" si="2"/>
        <v>#AppleWatch#Health</v>
      </c>
      <c r="F97" s="2" t="s">
        <v>48</v>
      </c>
      <c r="G97" s="2" t="s">
        <v>49</v>
      </c>
      <c r="H97" s="2" t="str">
        <f t="shared" si="3"/>
        <v>#AppleWatch</v>
      </c>
      <c r="I97" s="8">
        <v>6637</v>
      </c>
      <c r="J97" s="8">
        <v>595</v>
      </c>
      <c r="K97" s="8">
        <v>161</v>
      </c>
      <c r="L97" s="8">
        <v>2653</v>
      </c>
      <c r="M97" s="9">
        <v>19334</v>
      </c>
      <c r="N97" s="2">
        <v>131155</v>
      </c>
      <c r="O97" s="2" t="s">
        <v>31</v>
      </c>
    </row>
    <row r="98" spans="1:15">
      <c r="A98" s="2" t="s">
        <v>206</v>
      </c>
      <c r="B98" s="2" t="s">
        <v>53</v>
      </c>
      <c r="C98" s="3" t="s">
        <v>207</v>
      </c>
      <c r="D98" s="2" t="s">
        <v>43</v>
      </c>
      <c r="E98" s="2" t="str">
        <f t="shared" si="2"/>
        <v>#Sustainability#AppleEarth</v>
      </c>
      <c r="F98" s="2" t="s">
        <v>176</v>
      </c>
      <c r="G98" s="2" t="s">
        <v>177</v>
      </c>
      <c r="H98" s="2" t="str">
        <f t="shared" si="3"/>
        <v>#Sustainability</v>
      </c>
      <c r="I98" s="8">
        <v>6854</v>
      </c>
      <c r="J98" s="8">
        <v>417</v>
      </c>
      <c r="K98" s="8">
        <v>467</v>
      </c>
      <c r="L98" s="8">
        <v>1003</v>
      </c>
      <c r="M98" s="9">
        <v>61333</v>
      </c>
      <c r="N98" s="2">
        <v>40281</v>
      </c>
      <c r="O98" s="2" t="s">
        <v>19</v>
      </c>
    </row>
    <row r="99" spans="1:15">
      <c r="A99" s="2" t="s">
        <v>208</v>
      </c>
      <c r="B99" s="2" t="s">
        <v>21</v>
      </c>
      <c r="C99" s="3" t="s">
        <v>209</v>
      </c>
      <c r="D99" s="2" t="s">
        <v>34</v>
      </c>
      <c r="E99" s="2" t="str">
        <f t="shared" si="2"/>
        <v>#AppleMusic#AppleLifestyle</v>
      </c>
      <c r="F99" s="2" t="s">
        <v>44</v>
      </c>
      <c r="G99" s="2" t="s">
        <v>45</v>
      </c>
      <c r="H99" s="2" t="str">
        <f t="shared" si="3"/>
        <v>#AppleMusic</v>
      </c>
      <c r="I99" s="8">
        <v>21561</v>
      </c>
      <c r="J99" s="8">
        <v>340</v>
      </c>
      <c r="K99" s="8">
        <v>741</v>
      </c>
      <c r="L99" s="8">
        <v>986</v>
      </c>
      <c r="M99" s="9">
        <v>24826</v>
      </c>
      <c r="N99" s="2">
        <v>198492</v>
      </c>
      <c r="O99" s="2" t="s">
        <v>19</v>
      </c>
    </row>
    <row r="100" spans="1:15">
      <c r="A100" s="2" t="s">
        <v>210</v>
      </c>
      <c r="B100" s="2" t="s">
        <v>53</v>
      </c>
      <c r="C100" s="3" t="s">
        <v>211</v>
      </c>
      <c r="D100" s="2" t="s">
        <v>43</v>
      </c>
      <c r="E100" s="2" t="str">
        <f t="shared" si="2"/>
        <v>#AppleMusic#AppleLifestyle</v>
      </c>
      <c r="F100" s="2" t="s">
        <v>44</v>
      </c>
      <c r="G100" s="2" t="s">
        <v>45</v>
      </c>
      <c r="H100" s="2" t="str">
        <f t="shared" si="3"/>
        <v>#AppleMusic</v>
      </c>
      <c r="I100" s="8">
        <v>12320</v>
      </c>
      <c r="J100" s="8">
        <v>1157</v>
      </c>
      <c r="K100" s="8">
        <v>365</v>
      </c>
      <c r="L100" s="8">
        <v>584</v>
      </c>
      <c r="M100" s="9">
        <v>66634</v>
      </c>
      <c r="N100" s="2">
        <v>210102</v>
      </c>
      <c r="O100" s="2" t="s">
        <v>37</v>
      </c>
    </row>
    <row r="101" spans="1:15">
      <c r="A101" s="2" t="s">
        <v>212</v>
      </c>
      <c r="B101" s="2" t="s">
        <v>26</v>
      </c>
      <c r="C101" s="4">
        <v>45925</v>
      </c>
      <c r="D101" s="2" t="s">
        <v>16</v>
      </c>
      <c r="E101" s="2" t="str">
        <f t="shared" si="2"/>
        <v>#ShotOniPhone</v>
      </c>
      <c r="F101" s="2" t="s">
        <v>40</v>
      </c>
      <c r="G101" s="2"/>
      <c r="H101" s="2" t="str">
        <f t="shared" si="3"/>
        <v>#ShotOniPhone</v>
      </c>
      <c r="I101" s="8">
        <v>20564</v>
      </c>
      <c r="J101" s="8">
        <v>1433</v>
      </c>
      <c r="K101" s="8">
        <v>488</v>
      </c>
      <c r="L101" s="8">
        <v>1015</v>
      </c>
      <c r="M101" s="9">
        <v>24333</v>
      </c>
      <c r="N101" s="2">
        <v>172130</v>
      </c>
      <c r="O101" s="2" t="s">
        <v>24</v>
      </c>
    </row>
    <row r="102" spans="1:15">
      <c r="A102" s="2" t="s">
        <v>213</v>
      </c>
      <c r="B102" s="2" t="s">
        <v>14</v>
      </c>
      <c r="C102" s="3" t="s">
        <v>214</v>
      </c>
      <c r="D102" s="2" t="s">
        <v>43</v>
      </c>
      <c r="E102" s="2" t="str">
        <f t="shared" si="2"/>
        <v>#MacBookAirM3#AppleInnovation</v>
      </c>
      <c r="F102" s="2" t="s">
        <v>22</v>
      </c>
      <c r="G102" s="2" t="s">
        <v>23</v>
      </c>
      <c r="H102" s="2" t="str">
        <f t="shared" si="3"/>
        <v>#MacBookAirM3</v>
      </c>
      <c r="I102" s="8">
        <v>6892</v>
      </c>
      <c r="J102" s="8">
        <v>1184</v>
      </c>
      <c r="K102" s="8">
        <v>925</v>
      </c>
      <c r="L102" s="8">
        <v>1062</v>
      </c>
      <c r="M102" s="9">
        <v>75008</v>
      </c>
      <c r="N102" s="2">
        <v>116260</v>
      </c>
      <c r="O102" s="2" t="s">
        <v>62</v>
      </c>
    </row>
    <row r="103" spans="1:15">
      <c r="A103" s="2" t="s">
        <v>215</v>
      </c>
      <c r="B103" s="2" t="s">
        <v>53</v>
      </c>
      <c r="C103" s="4">
        <v>45926</v>
      </c>
      <c r="D103" s="2" t="s">
        <v>43</v>
      </c>
      <c r="E103" s="2" t="str">
        <f t="shared" si="2"/>
        <v>#ShotOniPhone</v>
      </c>
      <c r="F103" s="2" t="s">
        <v>40</v>
      </c>
      <c r="G103" s="2"/>
      <c r="H103" s="2" t="str">
        <f t="shared" si="3"/>
        <v>#ShotOniPhone</v>
      </c>
      <c r="I103" s="8">
        <v>9043</v>
      </c>
      <c r="J103" s="8">
        <v>1192</v>
      </c>
      <c r="K103" s="8">
        <v>810</v>
      </c>
      <c r="L103" s="8">
        <v>1550</v>
      </c>
      <c r="M103" s="9">
        <v>5221</v>
      </c>
      <c r="N103" s="2">
        <v>199476</v>
      </c>
      <c r="O103" s="2" t="s">
        <v>24</v>
      </c>
    </row>
    <row r="104" spans="1:15">
      <c r="A104" s="2" t="s">
        <v>216</v>
      </c>
      <c r="B104" s="2" t="s">
        <v>53</v>
      </c>
      <c r="C104" s="4">
        <v>45927</v>
      </c>
      <c r="D104" s="2" t="s">
        <v>28</v>
      </c>
      <c r="E104" s="2" t="str">
        <f t="shared" si="2"/>
        <v>#MacBookAirM3#AppleInnovation</v>
      </c>
      <c r="F104" s="2" t="s">
        <v>22</v>
      </c>
      <c r="G104" s="2" t="s">
        <v>23</v>
      </c>
      <c r="H104" s="2" t="str">
        <f t="shared" si="3"/>
        <v>#MacBookAirM3</v>
      </c>
      <c r="I104" s="8">
        <v>18521</v>
      </c>
      <c r="J104" s="8">
        <v>1027</v>
      </c>
      <c r="K104" s="8">
        <v>230</v>
      </c>
      <c r="L104" s="8">
        <v>1247</v>
      </c>
      <c r="M104" s="9">
        <v>39588</v>
      </c>
      <c r="N104" s="2">
        <v>200928</v>
      </c>
      <c r="O104" s="2" t="s">
        <v>24</v>
      </c>
    </row>
    <row r="105" spans="1:15">
      <c r="A105" s="2" t="s">
        <v>217</v>
      </c>
      <c r="B105" s="2" t="s">
        <v>21</v>
      </c>
      <c r="C105" s="3" t="s">
        <v>218</v>
      </c>
      <c r="D105" s="2" t="s">
        <v>16</v>
      </c>
      <c r="E105" s="2" t="str">
        <f t="shared" si="2"/>
        <v>#AppleDesign#Innovation</v>
      </c>
      <c r="F105" s="2" t="s">
        <v>29</v>
      </c>
      <c r="G105" s="2" t="s">
        <v>30</v>
      </c>
      <c r="H105" s="2" t="str">
        <f t="shared" si="3"/>
        <v>#AppleDesign</v>
      </c>
      <c r="I105" s="8">
        <v>24711</v>
      </c>
      <c r="J105" s="8">
        <v>882</v>
      </c>
      <c r="K105" s="8">
        <v>876</v>
      </c>
      <c r="L105" s="8">
        <v>2728</v>
      </c>
      <c r="M105" s="9">
        <v>32015</v>
      </c>
      <c r="N105" s="2">
        <v>180272</v>
      </c>
      <c r="O105" s="2" t="s">
        <v>37</v>
      </c>
    </row>
    <row r="106" spans="1:15">
      <c r="A106" s="2" t="s">
        <v>219</v>
      </c>
      <c r="B106" s="2" t="s">
        <v>53</v>
      </c>
      <c r="C106" s="3" t="s">
        <v>220</v>
      </c>
      <c r="D106" s="2" t="s">
        <v>43</v>
      </c>
      <c r="E106" s="2" t="str">
        <f t="shared" si="2"/>
        <v>#iPhone16Launch#AppleEvent</v>
      </c>
      <c r="F106" s="2" t="s">
        <v>55</v>
      </c>
      <c r="G106" s="2" t="s">
        <v>35</v>
      </c>
      <c r="H106" s="2" t="str">
        <f t="shared" si="3"/>
        <v>#iPhone16Launch</v>
      </c>
      <c r="I106" s="8">
        <v>21856</v>
      </c>
      <c r="J106" s="8">
        <v>1203</v>
      </c>
      <c r="K106" s="8">
        <v>634</v>
      </c>
      <c r="L106" s="8">
        <v>2807</v>
      </c>
      <c r="M106" s="9">
        <v>3647</v>
      </c>
      <c r="N106" s="2">
        <v>104178</v>
      </c>
      <c r="O106" s="2" t="s">
        <v>37</v>
      </c>
    </row>
    <row r="107" spans="1:15">
      <c r="A107" s="2" t="s">
        <v>221</v>
      </c>
      <c r="B107" s="2" t="s">
        <v>53</v>
      </c>
      <c r="C107" s="3" t="s">
        <v>222</v>
      </c>
      <c r="D107" s="2" t="s">
        <v>43</v>
      </c>
      <c r="E107" s="2" t="str">
        <f t="shared" si="2"/>
        <v>#AppleWatch#Health</v>
      </c>
      <c r="F107" s="2" t="s">
        <v>48</v>
      </c>
      <c r="G107" s="2" t="s">
        <v>49</v>
      </c>
      <c r="H107" s="2" t="str">
        <f t="shared" si="3"/>
        <v>#AppleWatch</v>
      </c>
      <c r="I107" s="8">
        <v>23833</v>
      </c>
      <c r="J107" s="8">
        <v>555</v>
      </c>
      <c r="K107" s="8">
        <v>523</v>
      </c>
      <c r="L107" s="8">
        <v>1330</v>
      </c>
      <c r="M107" s="9">
        <v>69141</v>
      </c>
      <c r="N107" s="2">
        <v>73997</v>
      </c>
      <c r="O107" s="2" t="s">
        <v>37</v>
      </c>
    </row>
    <row r="108" spans="1:15">
      <c r="A108" s="2" t="s">
        <v>223</v>
      </c>
      <c r="B108" s="2" t="s">
        <v>53</v>
      </c>
      <c r="C108" s="3" t="s">
        <v>224</v>
      </c>
      <c r="D108" s="2" t="s">
        <v>34</v>
      </c>
      <c r="E108" s="2" t="str">
        <f t="shared" si="2"/>
        <v>#AppleEvent#iPadPro</v>
      </c>
      <c r="F108" s="2" t="s">
        <v>35</v>
      </c>
      <c r="G108" s="2" t="s">
        <v>36</v>
      </c>
      <c r="H108" s="2" t="str">
        <f t="shared" si="3"/>
        <v>#AppleEvent</v>
      </c>
      <c r="I108" s="8">
        <v>21216</v>
      </c>
      <c r="J108" s="8">
        <v>1207</v>
      </c>
      <c r="K108" s="8">
        <v>859</v>
      </c>
      <c r="L108" s="8">
        <v>328</v>
      </c>
      <c r="M108" s="9">
        <v>91296</v>
      </c>
      <c r="N108" s="2">
        <v>196683</v>
      </c>
      <c r="O108" s="2" t="s">
        <v>31</v>
      </c>
    </row>
    <row r="109" spans="1:15">
      <c r="A109" s="2" t="s">
        <v>225</v>
      </c>
      <c r="B109" s="2" t="s">
        <v>21</v>
      </c>
      <c r="C109" s="4">
        <v>45928</v>
      </c>
      <c r="D109" s="2" t="s">
        <v>43</v>
      </c>
      <c r="E109" s="2" t="str">
        <f t="shared" si="2"/>
        <v>#AppleWatch#Health</v>
      </c>
      <c r="F109" s="2" t="s">
        <v>48</v>
      </c>
      <c r="G109" s="2" t="s">
        <v>49</v>
      </c>
      <c r="H109" s="2" t="str">
        <f t="shared" si="3"/>
        <v>#AppleWatch</v>
      </c>
      <c r="I109" s="8">
        <v>21963</v>
      </c>
      <c r="J109" s="8">
        <v>1356</v>
      </c>
      <c r="K109" s="8">
        <v>349</v>
      </c>
      <c r="L109" s="8">
        <v>1206</v>
      </c>
      <c r="M109" s="9">
        <v>51755</v>
      </c>
      <c r="N109" s="2">
        <v>159273</v>
      </c>
      <c r="O109" s="2" t="s">
        <v>24</v>
      </c>
    </row>
    <row r="110" spans="1:15">
      <c r="A110" s="2" t="s">
        <v>226</v>
      </c>
      <c r="B110" s="2" t="s">
        <v>53</v>
      </c>
      <c r="C110" s="3" t="s">
        <v>227</v>
      </c>
      <c r="D110" s="2" t="s">
        <v>43</v>
      </c>
      <c r="E110" s="2" t="str">
        <f t="shared" si="2"/>
        <v>#AppleWatch#Health</v>
      </c>
      <c r="F110" s="2" t="s">
        <v>48</v>
      </c>
      <c r="G110" s="2" t="s">
        <v>49</v>
      </c>
      <c r="H110" s="2" t="str">
        <f t="shared" si="3"/>
        <v>#AppleWatch</v>
      </c>
      <c r="I110" s="8">
        <v>24355</v>
      </c>
      <c r="J110" s="8">
        <v>1087</v>
      </c>
      <c r="K110" s="8">
        <v>686</v>
      </c>
      <c r="L110" s="8">
        <v>2426</v>
      </c>
      <c r="M110" s="9">
        <v>24963</v>
      </c>
      <c r="N110" s="2">
        <v>212307</v>
      </c>
      <c r="O110" s="2" t="s">
        <v>19</v>
      </c>
    </row>
    <row r="111" spans="1:15">
      <c r="A111" s="2" t="s">
        <v>228</v>
      </c>
      <c r="B111" s="2" t="s">
        <v>14</v>
      </c>
      <c r="C111" s="3" t="s">
        <v>229</v>
      </c>
      <c r="D111" s="2" t="s">
        <v>34</v>
      </c>
      <c r="E111" s="2" t="str">
        <f t="shared" si="2"/>
        <v>#AppleWatch#Health</v>
      </c>
      <c r="F111" s="2" t="s">
        <v>48</v>
      </c>
      <c r="G111" s="2" t="s">
        <v>49</v>
      </c>
      <c r="H111" s="2" t="str">
        <f t="shared" si="3"/>
        <v>#AppleWatch</v>
      </c>
      <c r="I111" s="8">
        <v>6164</v>
      </c>
      <c r="J111" s="8">
        <v>326</v>
      </c>
      <c r="K111" s="8">
        <v>615</v>
      </c>
      <c r="L111" s="8">
        <v>2806</v>
      </c>
      <c r="M111" s="9">
        <v>38579</v>
      </c>
      <c r="N111" s="2">
        <v>206129</v>
      </c>
      <c r="O111" s="2" t="s">
        <v>62</v>
      </c>
    </row>
    <row r="112" spans="1:15">
      <c r="A112" s="2" t="s">
        <v>230</v>
      </c>
      <c r="B112" s="2" t="s">
        <v>21</v>
      </c>
      <c r="C112" s="3" t="s">
        <v>231</v>
      </c>
      <c r="D112" s="2" t="s">
        <v>28</v>
      </c>
      <c r="E112" s="2" t="str">
        <f t="shared" si="2"/>
        <v>#ShotOniPhone</v>
      </c>
      <c r="F112" s="2" t="s">
        <v>40</v>
      </c>
      <c r="G112" s="2"/>
      <c r="H112" s="2" t="str">
        <f t="shared" si="3"/>
        <v>#ShotOniPhone</v>
      </c>
      <c r="I112" s="8">
        <v>9941</v>
      </c>
      <c r="J112" s="8">
        <v>1329</v>
      </c>
      <c r="K112" s="8">
        <v>238</v>
      </c>
      <c r="L112" s="8">
        <v>869</v>
      </c>
      <c r="M112" s="9">
        <v>40281</v>
      </c>
      <c r="N112" s="2">
        <v>172311</v>
      </c>
      <c r="O112" s="2" t="s">
        <v>31</v>
      </c>
    </row>
    <row r="113" spans="1:15">
      <c r="A113" s="2" t="s">
        <v>232</v>
      </c>
      <c r="B113" s="2" t="s">
        <v>14</v>
      </c>
      <c r="C113" s="3" t="s">
        <v>233</v>
      </c>
      <c r="D113" s="2" t="s">
        <v>43</v>
      </c>
      <c r="E113" s="2" t="str">
        <f t="shared" si="2"/>
        <v>#MacBookAirM3#AppleInnovation</v>
      </c>
      <c r="F113" s="2" t="s">
        <v>22</v>
      </c>
      <c r="G113" s="2" t="s">
        <v>23</v>
      </c>
      <c r="H113" s="2" t="str">
        <f t="shared" si="3"/>
        <v>#MacBookAirM3</v>
      </c>
      <c r="I113" s="8">
        <v>16388</v>
      </c>
      <c r="J113" s="8">
        <v>1208</v>
      </c>
      <c r="K113" s="8">
        <v>417</v>
      </c>
      <c r="L113" s="8">
        <v>2306</v>
      </c>
      <c r="M113" s="9">
        <v>16865</v>
      </c>
      <c r="N113" s="2">
        <v>236733</v>
      </c>
      <c r="O113" s="2" t="s">
        <v>19</v>
      </c>
    </row>
    <row r="114" spans="1:15">
      <c r="A114" s="2" t="s">
        <v>234</v>
      </c>
      <c r="B114" s="2" t="s">
        <v>21</v>
      </c>
      <c r="C114" s="4">
        <v>45929</v>
      </c>
      <c r="D114" s="2" t="s">
        <v>34</v>
      </c>
      <c r="E114" s="2" t="str">
        <f t="shared" si="2"/>
        <v>#iPhonePhotography#ShotOniPhone</v>
      </c>
      <c r="F114" s="2" t="s">
        <v>77</v>
      </c>
      <c r="G114" s="2" t="s">
        <v>40</v>
      </c>
      <c r="H114" s="2" t="str">
        <f t="shared" si="3"/>
        <v>#iPhonePhotography</v>
      </c>
      <c r="I114" s="8">
        <v>7569</v>
      </c>
      <c r="J114" s="8">
        <v>803</v>
      </c>
      <c r="K114" s="8">
        <v>804</v>
      </c>
      <c r="L114" s="8">
        <v>1753</v>
      </c>
      <c r="M114" s="9">
        <v>43582</v>
      </c>
      <c r="N114" s="2">
        <v>166945</v>
      </c>
      <c r="O114" s="2" t="s">
        <v>24</v>
      </c>
    </row>
    <row r="115" spans="1:15">
      <c r="A115" s="2" t="s">
        <v>235</v>
      </c>
      <c r="B115" s="2" t="s">
        <v>53</v>
      </c>
      <c r="C115" s="3" t="s">
        <v>236</v>
      </c>
      <c r="D115" s="2" t="s">
        <v>16</v>
      </c>
      <c r="E115" s="2" t="str">
        <f t="shared" si="2"/>
        <v>#AppleDesign#Innovation</v>
      </c>
      <c r="F115" s="2" t="s">
        <v>29</v>
      </c>
      <c r="G115" s="2" t="s">
        <v>30</v>
      </c>
      <c r="H115" s="2" t="str">
        <f t="shared" si="3"/>
        <v>#AppleDesign</v>
      </c>
      <c r="I115" s="8">
        <v>6300</v>
      </c>
      <c r="J115" s="8">
        <v>1213</v>
      </c>
      <c r="K115" s="8">
        <v>720</v>
      </c>
      <c r="L115" s="8">
        <v>1037</v>
      </c>
      <c r="M115" s="9">
        <v>39569</v>
      </c>
      <c r="N115" s="2">
        <v>85272</v>
      </c>
      <c r="O115" s="2" t="s">
        <v>37</v>
      </c>
    </row>
    <row r="116" spans="1:15">
      <c r="A116" s="2" t="s">
        <v>237</v>
      </c>
      <c r="B116" s="2" t="s">
        <v>14</v>
      </c>
      <c r="C116" s="4">
        <v>45930</v>
      </c>
      <c r="D116" s="2" t="s">
        <v>28</v>
      </c>
      <c r="E116" s="2" t="str">
        <f t="shared" si="2"/>
        <v>#AppleWatchUltra2#HealthTech</v>
      </c>
      <c r="F116" s="2" t="s">
        <v>17</v>
      </c>
      <c r="G116" s="2" t="s">
        <v>18</v>
      </c>
      <c r="H116" s="2" t="str">
        <f t="shared" si="3"/>
        <v>#AppleWatchUltra2</v>
      </c>
      <c r="I116" s="8">
        <v>8269</v>
      </c>
      <c r="J116" s="8">
        <v>250</v>
      </c>
      <c r="K116" s="8">
        <v>638</v>
      </c>
      <c r="L116" s="8">
        <v>815</v>
      </c>
      <c r="M116" s="9">
        <v>41991</v>
      </c>
      <c r="N116" s="2">
        <v>129393</v>
      </c>
      <c r="O116" s="2" t="s">
        <v>24</v>
      </c>
    </row>
    <row r="117" spans="1:15">
      <c r="A117" s="2" t="s">
        <v>238</v>
      </c>
      <c r="B117" s="2" t="s">
        <v>21</v>
      </c>
      <c r="C117" s="3" t="s">
        <v>239</v>
      </c>
      <c r="D117" s="2" t="s">
        <v>16</v>
      </c>
      <c r="E117" s="2" t="str">
        <f t="shared" si="2"/>
        <v>#AppleWatch#Health</v>
      </c>
      <c r="F117" s="2" t="s">
        <v>48</v>
      </c>
      <c r="G117" s="2" t="s">
        <v>49</v>
      </c>
      <c r="H117" s="2" t="str">
        <f t="shared" si="3"/>
        <v>#AppleWatch</v>
      </c>
      <c r="I117" s="8">
        <v>5818</v>
      </c>
      <c r="J117" s="8">
        <v>1252</v>
      </c>
      <c r="K117" s="8">
        <v>687</v>
      </c>
      <c r="L117" s="8">
        <v>2300</v>
      </c>
      <c r="M117" s="9">
        <v>25081</v>
      </c>
      <c r="N117" s="2">
        <v>101212</v>
      </c>
      <c r="O117" s="2" t="s">
        <v>62</v>
      </c>
    </row>
    <row r="118" spans="1:15">
      <c r="A118" s="2" t="s">
        <v>240</v>
      </c>
      <c r="B118" s="2" t="s">
        <v>26</v>
      </c>
      <c r="C118" s="3" t="s">
        <v>241</v>
      </c>
      <c r="D118" s="2" t="s">
        <v>16</v>
      </c>
      <c r="E118" s="2" t="str">
        <f t="shared" si="2"/>
        <v>#AppleEvent#iPhone16</v>
      </c>
      <c r="F118" s="2" t="s">
        <v>35</v>
      </c>
      <c r="G118" s="2" t="s">
        <v>69</v>
      </c>
      <c r="H118" s="2" t="str">
        <f t="shared" si="3"/>
        <v>#AppleEvent</v>
      </c>
      <c r="I118" s="8">
        <v>14015</v>
      </c>
      <c r="J118" s="8">
        <v>978</v>
      </c>
      <c r="K118" s="8">
        <v>196</v>
      </c>
      <c r="L118" s="8">
        <v>2744</v>
      </c>
      <c r="M118" s="9">
        <v>20190</v>
      </c>
      <c r="N118" s="2">
        <v>186470</v>
      </c>
      <c r="O118" s="2" t="s">
        <v>31</v>
      </c>
    </row>
    <row r="119" spans="1:15">
      <c r="A119" s="2" t="s">
        <v>242</v>
      </c>
      <c r="B119" s="2" t="s">
        <v>53</v>
      </c>
      <c r="C119" s="3" t="s">
        <v>241</v>
      </c>
      <c r="D119" s="2" t="s">
        <v>34</v>
      </c>
      <c r="E119" s="2" t="str">
        <f t="shared" si="2"/>
        <v>#ShotOniPhone</v>
      </c>
      <c r="F119" s="2" t="s">
        <v>40</v>
      </c>
      <c r="G119" s="2"/>
      <c r="H119" s="2" t="str">
        <f t="shared" si="3"/>
        <v>#ShotOniPhone</v>
      </c>
      <c r="I119" s="8">
        <v>14234</v>
      </c>
      <c r="J119" s="8">
        <v>1013</v>
      </c>
      <c r="K119" s="8">
        <v>437</v>
      </c>
      <c r="L119" s="8">
        <v>338</v>
      </c>
      <c r="M119" s="9">
        <v>67754</v>
      </c>
      <c r="N119" s="2">
        <v>160030</v>
      </c>
      <c r="O119" s="2" t="s">
        <v>31</v>
      </c>
    </row>
    <row r="120" spans="1:15">
      <c r="A120" s="2" t="s">
        <v>243</v>
      </c>
      <c r="B120" s="2" t="s">
        <v>21</v>
      </c>
      <c r="C120" s="3" t="s">
        <v>244</v>
      </c>
      <c r="D120" s="2" t="s">
        <v>43</v>
      </c>
      <c r="E120" s="2" t="str">
        <f t="shared" si="2"/>
        <v>#Sustainability#AppleEarth</v>
      </c>
      <c r="F120" s="2" t="s">
        <v>176</v>
      </c>
      <c r="G120" s="2" t="s">
        <v>177</v>
      </c>
      <c r="H120" s="2" t="str">
        <f t="shared" si="3"/>
        <v>#Sustainability</v>
      </c>
      <c r="I120" s="8">
        <v>20290</v>
      </c>
      <c r="J120" s="8">
        <v>619</v>
      </c>
      <c r="K120" s="8">
        <v>927</v>
      </c>
      <c r="L120" s="8">
        <v>1186</v>
      </c>
      <c r="M120" s="9">
        <v>8924</v>
      </c>
      <c r="N120" s="2">
        <v>96503</v>
      </c>
      <c r="O120" s="2" t="s">
        <v>62</v>
      </c>
    </row>
    <row r="121" spans="1:15">
      <c r="A121" s="2" t="s">
        <v>245</v>
      </c>
      <c r="B121" s="2" t="s">
        <v>26</v>
      </c>
      <c r="C121" s="3" t="s">
        <v>137</v>
      </c>
      <c r="D121" s="2" t="s">
        <v>34</v>
      </c>
      <c r="E121" s="2" t="str">
        <f t="shared" si="2"/>
        <v>#AppleEvent#iPadPro</v>
      </c>
      <c r="F121" s="2" t="s">
        <v>35</v>
      </c>
      <c r="G121" s="2" t="s">
        <v>36</v>
      </c>
      <c r="H121" s="2" t="str">
        <f t="shared" si="3"/>
        <v>#AppleEvent</v>
      </c>
      <c r="I121" s="8">
        <v>8254</v>
      </c>
      <c r="J121" s="8">
        <v>1405</v>
      </c>
      <c r="K121" s="8">
        <v>165</v>
      </c>
      <c r="L121" s="8">
        <v>2504</v>
      </c>
      <c r="M121" s="9">
        <v>8081</v>
      </c>
      <c r="N121" s="2">
        <v>177710</v>
      </c>
      <c r="O121" s="2" t="s">
        <v>19</v>
      </c>
    </row>
    <row r="122" spans="1:15">
      <c r="A122" s="2" t="s">
        <v>246</v>
      </c>
      <c r="B122" s="2" t="s">
        <v>21</v>
      </c>
      <c r="C122" s="3" t="s">
        <v>229</v>
      </c>
      <c r="D122" s="2" t="s">
        <v>34</v>
      </c>
      <c r="E122" s="2" t="str">
        <f t="shared" si="2"/>
        <v>#AppleWatchUltra2#HealthTech</v>
      </c>
      <c r="F122" s="2" t="s">
        <v>17</v>
      </c>
      <c r="G122" s="2" t="s">
        <v>18</v>
      </c>
      <c r="H122" s="2" t="str">
        <f t="shared" si="3"/>
        <v>#AppleWatchUltra2</v>
      </c>
      <c r="I122" s="8">
        <v>19144</v>
      </c>
      <c r="J122" s="8">
        <v>1182</v>
      </c>
      <c r="K122" s="8">
        <v>860</v>
      </c>
      <c r="L122" s="8">
        <v>1398</v>
      </c>
      <c r="M122" s="9">
        <v>4185</v>
      </c>
      <c r="N122" s="2">
        <v>46570</v>
      </c>
      <c r="O122" s="2" t="s">
        <v>19</v>
      </c>
    </row>
    <row r="123" spans="1:15">
      <c r="A123" s="2" t="s">
        <v>247</v>
      </c>
      <c r="B123" s="2" t="s">
        <v>26</v>
      </c>
      <c r="C123" s="3" t="s">
        <v>248</v>
      </c>
      <c r="D123" s="2" t="s">
        <v>34</v>
      </c>
      <c r="E123" s="2" t="str">
        <f t="shared" si="2"/>
        <v>#iPhonePhotography#ShotOniPhone</v>
      </c>
      <c r="F123" s="2" t="s">
        <v>77</v>
      </c>
      <c r="G123" s="2" t="s">
        <v>40</v>
      </c>
      <c r="H123" s="2" t="str">
        <f t="shared" si="3"/>
        <v>#iPhonePhotography</v>
      </c>
      <c r="I123" s="8">
        <v>9350</v>
      </c>
      <c r="J123" s="8">
        <v>1024</v>
      </c>
      <c r="K123" s="8">
        <v>550</v>
      </c>
      <c r="L123" s="8">
        <v>2123</v>
      </c>
      <c r="M123" s="9">
        <v>53916</v>
      </c>
      <c r="N123" s="2">
        <v>108785</v>
      </c>
      <c r="O123" s="2" t="s">
        <v>31</v>
      </c>
    </row>
    <row r="124" spans="1:15">
      <c r="A124" s="2" t="s">
        <v>249</v>
      </c>
      <c r="B124" s="2" t="s">
        <v>53</v>
      </c>
      <c r="C124" s="3" t="s">
        <v>220</v>
      </c>
      <c r="D124" s="2" t="s">
        <v>34</v>
      </c>
      <c r="E124" s="2" t="str">
        <f t="shared" si="2"/>
        <v>#AppleEvent#iPhone16</v>
      </c>
      <c r="F124" s="2" t="s">
        <v>35</v>
      </c>
      <c r="G124" s="2" t="s">
        <v>69</v>
      </c>
      <c r="H124" s="2" t="str">
        <f t="shared" si="3"/>
        <v>#AppleEvent</v>
      </c>
      <c r="I124" s="8">
        <v>17183</v>
      </c>
      <c r="J124" s="8">
        <v>1224</v>
      </c>
      <c r="K124" s="8">
        <v>943</v>
      </c>
      <c r="L124" s="8">
        <v>2010</v>
      </c>
      <c r="M124" s="9">
        <v>21481</v>
      </c>
      <c r="N124" s="2">
        <v>49110</v>
      </c>
      <c r="O124" s="2" t="s">
        <v>31</v>
      </c>
    </row>
    <row r="125" spans="1:15">
      <c r="A125" s="2" t="s">
        <v>250</v>
      </c>
      <c r="B125" s="2" t="s">
        <v>14</v>
      </c>
      <c r="C125" s="3" t="s">
        <v>251</v>
      </c>
      <c r="D125" s="2" t="s">
        <v>28</v>
      </c>
      <c r="E125" s="2" t="str">
        <f t="shared" si="2"/>
        <v>#iPhonePhotography#ShotOniPhone</v>
      </c>
      <c r="F125" s="2" t="s">
        <v>77</v>
      </c>
      <c r="G125" s="2" t="s">
        <v>40</v>
      </c>
      <c r="H125" s="2" t="str">
        <f t="shared" si="3"/>
        <v>#iPhonePhotography</v>
      </c>
      <c r="I125" s="8">
        <v>8238</v>
      </c>
      <c r="J125" s="8">
        <v>766</v>
      </c>
      <c r="K125" s="8">
        <v>235</v>
      </c>
      <c r="L125" s="8">
        <v>1273</v>
      </c>
      <c r="M125" s="9">
        <v>4706</v>
      </c>
      <c r="N125" s="2">
        <v>119141</v>
      </c>
      <c r="O125" s="2" t="s">
        <v>37</v>
      </c>
    </row>
    <row r="126" spans="1:15">
      <c r="A126" s="2" t="s">
        <v>252</v>
      </c>
      <c r="B126" s="2" t="s">
        <v>26</v>
      </c>
      <c r="C126" s="3" t="s">
        <v>253</v>
      </c>
      <c r="D126" s="2" t="s">
        <v>43</v>
      </c>
      <c r="E126" s="2" t="str">
        <f t="shared" si="2"/>
        <v>#AppleWatchUltra2#HealthTech</v>
      </c>
      <c r="F126" s="2" t="s">
        <v>17</v>
      </c>
      <c r="G126" s="2" t="s">
        <v>18</v>
      </c>
      <c r="H126" s="2" t="str">
        <f t="shared" si="3"/>
        <v>#AppleWatchUltra2</v>
      </c>
      <c r="I126" s="8">
        <v>8090</v>
      </c>
      <c r="J126" s="8">
        <v>570</v>
      </c>
      <c r="K126" s="8">
        <v>399</v>
      </c>
      <c r="L126" s="8">
        <v>1862</v>
      </c>
      <c r="M126" s="9">
        <v>34088</v>
      </c>
      <c r="N126" s="2">
        <v>52115</v>
      </c>
      <c r="O126" s="2" t="s">
        <v>19</v>
      </c>
    </row>
    <row r="127" spans="1:15">
      <c r="A127" s="2" t="s">
        <v>254</v>
      </c>
      <c r="B127" s="2" t="s">
        <v>21</v>
      </c>
      <c r="C127" s="3" t="s">
        <v>151</v>
      </c>
      <c r="D127" s="2" t="s">
        <v>16</v>
      </c>
      <c r="E127" s="2" t="str">
        <f t="shared" si="2"/>
        <v>#AppleWatch#Health</v>
      </c>
      <c r="F127" s="2" t="s">
        <v>48</v>
      </c>
      <c r="G127" s="2" t="s">
        <v>49</v>
      </c>
      <c r="H127" s="2" t="str">
        <f t="shared" si="3"/>
        <v>#AppleWatch</v>
      </c>
      <c r="I127" s="8">
        <v>13637</v>
      </c>
      <c r="J127" s="8">
        <v>1135</v>
      </c>
      <c r="K127" s="8">
        <v>540</v>
      </c>
      <c r="L127" s="8">
        <v>1288</v>
      </c>
      <c r="M127" s="9">
        <v>45183</v>
      </c>
      <c r="N127" s="2">
        <v>79062</v>
      </c>
      <c r="O127" s="2" t="s">
        <v>62</v>
      </c>
    </row>
    <row r="128" spans="1:15">
      <c r="A128" s="2" t="s">
        <v>255</v>
      </c>
      <c r="B128" s="2" t="s">
        <v>53</v>
      </c>
      <c r="C128" s="3" t="s">
        <v>189</v>
      </c>
      <c r="D128" s="2" t="s">
        <v>16</v>
      </c>
      <c r="E128" s="2" t="str">
        <f t="shared" si="2"/>
        <v>#AppleEvent#iPhone16</v>
      </c>
      <c r="F128" s="2" t="s">
        <v>35</v>
      </c>
      <c r="G128" s="2" t="s">
        <v>69</v>
      </c>
      <c r="H128" s="2" t="str">
        <f t="shared" si="3"/>
        <v>#AppleEvent</v>
      </c>
      <c r="I128" s="8">
        <v>24415</v>
      </c>
      <c r="J128" s="8">
        <v>860</v>
      </c>
      <c r="K128" s="8">
        <v>931</v>
      </c>
      <c r="L128" s="8">
        <v>320</v>
      </c>
      <c r="M128" s="9">
        <v>65049</v>
      </c>
      <c r="N128" s="2">
        <v>62911</v>
      </c>
      <c r="O128" s="2" t="s">
        <v>19</v>
      </c>
    </row>
    <row r="129" spans="1:15">
      <c r="A129" s="2" t="s">
        <v>256</v>
      </c>
      <c r="B129" s="2" t="s">
        <v>26</v>
      </c>
      <c r="C129" s="3" t="s">
        <v>257</v>
      </c>
      <c r="D129" s="2" t="s">
        <v>43</v>
      </c>
      <c r="E129" s="2" t="str">
        <f t="shared" si="2"/>
        <v>#iPhonePhotography#ShotOniPhone</v>
      </c>
      <c r="F129" s="2" t="s">
        <v>77</v>
      </c>
      <c r="G129" s="2" t="s">
        <v>40</v>
      </c>
      <c r="H129" s="2" t="str">
        <f t="shared" si="3"/>
        <v>#iPhonePhotography</v>
      </c>
      <c r="I129" s="8">
        <v>14647</v>
      </c>
      <c r="J129" s="8">
        <v>1168</v>
      </c>
      <c r="K129" s="8">
        <v>484</v>
      </c>
      <c r="L129" s="8">
        <v>2650</v>
      </c>
      <c r="M129" s="9">
        <v>27217</v>
      </c>
      <c r="N129" s="2">
        <v>144061</v>
      </c>
      <c r="O129" s="2" t="s">
        <v>37</v>
      </c>
    </row>
    <row r="130" spans="1:15">
      <c r="A130" s="2" t="s">
        <v>258</v>
      </c>
      <c r="B130" s="2" t="s">
        <v>21</v>
      </c>
      <c r="C130" s="3" t="s">
        <v>59</v>
      </c>
      <c r="D130" s="2" t="s">
        <v>16</v>
      </c>
      <c r="E130" s="2" t="str">
        <f t="shared" si="2"/>
        <v>#AppleEvent#iPadPro</v>
      </c>
      <c r="F130" s="2" t="s">
        <v>35</v>
      </c>
      <c r="G130" s="2" t="s">
        <v>36</v>
      </c>
      <c r="H130" s="2" t="str">
        <f t="shared" si="3"/>
        <v>#AppleEvent</v>
      </c>
      <c r="I130" s="8">
        <v>11911</v>
      </c>
      <c r="J130" s="8">
        <v>1360</v>
      </c>
      <c r="K130" s="8">
        <v>778</v>
      </c>
      <c r="L130" s="8">
        <v>1168</v>
      </c>
      <c r="M130" s="9">
        <v>16483</v>
      </c>
      <c r="N130" s="2">
        <v>72556</v>
      </c>
      <c r="O130" s="2" t="s">
        <v>31</v>
      </c>
    </row>
    <row r="131" spans="1:15">
      <c r="A131" s="2" t="s">
        <v>259</v>
      </c>
      <c r="B131" s="2" t="s">
        <v>21</v>
      </c>
      <c r="C131" s="3" t="s">
        <v>260</v>
      </c>
      <c r="D131" s="2" t="s">
        <v>43</v>
      </c>
      <c r="E131" s="2" t="str">
        <f t="shared" ref="E131:E194" si="4">CONCATENATE(F131,G131)</f>
        <v>#MacBookAirM3#AppleInnovation</v>
      </c>
      <c r="F131" s="2" t="s">
        <v>22</v>
      </c>
      <c r="G131" s="2" t="s">
        <v>23</v>
      </c>
      <c r="H131" s="2" t="str">
        <f t="shared" ref="H131:H194" si="5">IF(F131&lt;&gt;"",F131,G131)</f>
        <v>#MacBookAirM3</v>
      </c>
      <c r="I131" s="8">
        <v>10472</v>
      </c>
      <c r="J131" s="8">
        <v>401</v>
      </c>
      <c r="K131" s="8">
        <v>668</v>
      </c>
      <c r="L131" s="8">
        <v>383</v>
      </c>
      <c r="M131" s="9">
        <v>37571</v>
      </c>
      <c r="N131" s="2">
        <v>249203</v>
      </c>
      <c r="O131" s="2" t="s">
        <v>31</v>
      </c>
    </row>
    <row r="132" spans="1:15">
      <c r="A132" s="2" t="s">
        <v>261</v>
      </c>
      <c r="B132" s="2" t="s">
        <v>21</v>
      </c>
      <c r="C132" s="3" t="s">
        <v>137</v>
      </c>
      <c r="D132" s="2" t="s">
        <v>16</v>
      </c>
      <c r="E132" s="2" t="str">
        <f t="shared" si="4"/>
        <v>#iPhone16Launch#AppleEvent</v>
      </c>
      <c r="F132" s="2" t="s">
        <v>55</v>
      </c>
      <c r="G132" s="2" t="s">
        <v>35</v>
      </c>
      <c r="H132" s="2" t="str">
        <f t="shared" si="5"/>
        <v>#iPhone16Launch</v>
      </c>
      <c r="I132" s="8">
        <v>20271</v>
      </c>
      <c r="J132" s="8">
        <v>512</v>
      </c>
      <c r="K132" s="8">
        <v>286</v>
      </c>
      <c r="L132" s="8">
        <v>1982</v>
      </c>
      <c r="M132" s="9">
        <v>43225</v>
      </c>
      <c r="N132" s="2">
        <v>168335</v>
      </c>
      <c r="O132" s="2" t="s">
        <v>37</v>
      </c>
    </row>
    <row r="133" spans="1:15">
      <c r="A133" s="2" t="s">
        <v>262</v>
      </c>
      <c r="B133" s="2" t="s">
        <v>26</v>
      </c>
      <c r="C133" s="3" t="s">
        <v>90</v>
      </c>
      <c r="D133" s="2" t="s">
        <v>34</v>
      </c>
      <c r="E133" s="2" t="str">
        <f t="shared" si="4"/>
        <v>#MacBookAirM3#AppleInnovation</v>
      </c>
      <c r="F133" s="2" t="s">
        <v>22</v>
      </c>
      <c r="G133" s="2" t="s">
        <v>23</v>
      </c>
      <c r="H133" s="2" t="str">
        <f t="shared" si="5"/>
        <v>#MacBookAirM3</v>
      </c>
      <c r="I133" s="8">
        <v>5266</v>
      </c>
      <c r="J133" s="8">
        <v>316</v>
      </c>
      <c r="K133" s="8">
        <v>837</v>
      </c>
      <c r="L133" s="8">
        <v>2276</v>
      </c>
      <c r="M133" s="9">
        <v>20967</v>
      </c>
      <c r="N133" s="2">
        <v>41969</v>
      </c>
      <c r="O133" s="2" t="s">
        <v>62</v>
      </c>
    </row>
    <row r="134" spans="1:15">
      <c r="A134" s="2" t="s">
        <v>263</v>
      </c>
      <c r="B134" s="2" t="s">
        <v>26</v>
      </c>
      <c r="C134" s="3" t="s">
        <v>264</v>
      </c>
      <c r="D134" s="2" t="s">
        <v>16</v>
      </c>
      <c r="E134" s="2" t="str">
        <f t="shared" si="4"/>
        <v>#AppleWatchUltra2#HealthTech</v>
      </c>
      <c r="F134" s="2" t="s">
        <v>17</v>
      </c>
      <c r="G134" s="2" t="s">
        <v>18</v>
      </c>
      <c r="H134" s="2" t="str">
        <f t="shared" si="5"/>
        <v>#AppleWatchUltra2</v>
      </c>
      <c r="I134" s="8">
        <v>2666</v>
      </c>
      <c r="J134" s="8">
        <v>1136</v>
      </c>
      <c r="K134" s="8">
        <v>989</v>
      </c>
      <c r="L134" s="8">
        <v>1710</v>
      </c>
      <c r="M134" s="9">
        <v>36467</v>
      </c>
      <c r="N134" s="2">
        <v>83753</v>
      </c>
      <c r="O134" s="2" t="s">
        <v>31</v>
      </c>
    </row>
    <row r="135" spans="1:15">
      <c r="A135" s="2" t="s">
        <v>265</v>
      </c>
      <c r="B135" s="2" t="s">
        <v>26</v>
      </c>
      <c r="C135" s="4">
        <v>45931</v>
      </c>
      <c r="D135" s="2" t="s">
        <v>43</v>
      </c>
      <c r="E135" s="2" t="str">
        <f t="shared" si="4"/>
        <v>#ShotOniPhone</v>
      </c>
      <c r="F135" s="2" t="s">
        <v>40</v>
      </c>
      <c r="G135" s="2"/>
      <c r="H135" s="2" t="str">
        <f t="shared" si="5"/>
        <v>#ShotOniPhone</v>
      </c>
      <c r="I135" s="8">
        <v>6188</v>
      </c>
      <c r="J135" s="8">
        <v>774</v>
      </c>
      <c r="K135" s="8">
        <v>647</v>
      </c>
      <c r="L135" s="8">
        <v>1830</v>
      </c>
      <c r="M135" s="9">
        <v>55436</v>
      </c>
      <c r="N135" s="2">
        <v>175542</v>
      </c>
      <c r="O135" s="2" t="s">
        <v>24</v>
      </c>
    </row>
    <row r="136" spans="1:15">
      <c r="A136" s="2" t="s">
        <v>266</v>
      </c>
      <c r="B136" s="2" t="s">
        <v>14</v>
      </c>
      <c r="C136" s="3" t="s">
        <v>267</v>
      </c>
      <c r="D136" s="2" t="s">
        <v>43</v>
      </c>
      <c r="E136" s="2" t="str">
        <f t="shared" si="4"/>
        <v>#iPhone16Launch#AppleEvent</v>
      </c>
      <c r="F136" s="2" t="s">
        <v>55</v>
      </c>
      <c r="G136" s="2" t="s">
        <v>35</v>
      </c>
      <c r="H136" s="2" t="str">
        <f t="shared" si="5"/>
        <v>#iPhone16Launch</v>
      </c>
      <c r="I136" s="8">
        <v>19055</v>
      </c>
      <c r="J136" s="8">
        <v>443</v>
      </c>
      <c r="K136" s="8">
        <v>976</v>
      </c>
      <c r="L136" s="8">
        <v>869</v>
      </c>
      <c r="M136" s="9">
        <v>75437</v>
      </c>
      <c r="N136" s="2">
        <v>161863</v>
      </c>
      <c r="O136" s="2" t="s">
        <v>31</v>
      </c>
    </row>
    <row r="137" spans="1:15">
      <c r="A137" s="2" t="s">
        <v>268</v>
      </c>
      <c r="B137" s="2" t="s">
        <v>26</v>
      </c>
      <c r="C137" s="4">
        <v>45932</v>
      </c>
      <c r="D137" s="2" t="s">
        <v>43</v>
      </c>
      <c r="E137" s="2" t="str">
        <f t="shared" si="4"/>
        <v>#AppleDesign#Innovation</v>
      </c>
      <c r="F137" s="2" t="s">
        <v>29</v>
      </c>
      <c r="G137" s="2" t="s">
        <v>30</v>
      </c>
      <c r="H137" s="2" t="str">
        <f t="shared" si="5"/>
        <v>#AppleDesign</v>
      </c>
      <c r="I137" s="8">
        <v>12161</v>
      </c>
      <c r="J137" s="8">
        <v>736</v>
      </c>
      <c r="K137" s="8">
        <v>876</v>
      </c>
      <c r="L137" s="8">
        <v>1233</v>
      </c>
      <c r="M137" s="9">
        <v>21337</v>
      </c>
      <c r="N137" s="2">
        <v>50225</v>
      </c>
      <c r="O137" s="2" t="s">
        <v>24</v>
      </c>
    </row>
    <row r="138" spans="1:15">
      <c r="A138" s="2" t="s">
        <v>269</v>
      </c>
      <c r="B138" s="2" t="s">
        <v>26</v>
      </c>
      <c r="C138" s="3" t="s">
        <v>98</v>
      </c>
      <c r="D138" s="2" t="s">
        <v>43</v>
      </c>
      <c r="E138" s="2" t="str">
        <f t="shared" si="4"/>
        <v>#AppleEvent#iPadPro</v>
      </c>
      <c r="F138" s="2" t="s">
        <v>35</v>
      </c>
      <c r="G138" s="2" t="s">
        <v>36</v>
      </c>
      <c r="H138" s="2" t="str">
        <f t="shared" si="5"/>
        <v>#AppleEvent</v>
      </c>
      <c r="I138" s="8">
        <v>13314</v>
      </c>
      <c r="J138" s="8">
        <v>274</v>
      </c>
      <c r="K138" s="8">
        <v>626</v>
      </c>
      <c r="L138" s="8">
        <v>2280</v>
      </c>
      <c r="M138" s="9">
        <v>14639</v>
      </c>
      <c r="N138" s="2">
        <v>163008</v>
      </c>
      <c r="O138" s="2" t="s">
        <v>37</v>
      </c>
    </row>
    <row r="139" spans="1:15">
      <c r="A139" s="2" t="s">
        <v>270</v>
      </c>
      <c r="B139" s="2" t="s">
        <v>26</v>
      </c>
      <c r="C139" s="3" t="s">
        <v>155</v>
      </c>
      <c r="D139" s="2" t="s">
        <v>43</v>
      </c>
      <c r="E139" s="2" t="str">
        <f t="shared" si="4"/>
        <v>#AppleDesign#Innovation</v>
      </c>
      <c r="F139" s="2" t="s">
        <v>29</v>
      </c>
      <c r="G139" s="2" t="s">
        <v>30</v>
      </c>
      <c r="H139" s="2" t="str">
        <f t="shared" si="5"/>
        <v>#AppleDesign</v>
      </c>
      <c r="I139" s="8">
        <v>23508</v>
      </c>
      <c r="J139" s="8">
        <v>585</v>
      </c>
      <c r="K139" s="8">
        <v>743</v>
      </c>
      <c r="L139" s="8">
        <v>2155</v>
      </c>
      <c r="M139" s="9">
        <v>3704</v>
      </c>
      <c r="N139" s="2">
        <v>194268</v>
      </c>
      <c r="O139" s="2" t="s">
        <v>37</v>
      </c>
    </row>
    <row r="140" spans="1:15">
      <c r="A140" s="2" t="s">
        <v>271</v>
      </c>
      <c r="B140" s="2" t="s">
        <v>14</v>
      </c>
      <c r="C140" s="3" t="s">
        <v>272</v>
      </c>
      <c r="D140" s="2" t="s">
        <v>28</v>
      </c>
      <c r="E140" s="2" t="str">
        <f t="shared" si="4"/>
        <v>#AppleEvent#iPhone16</v>
      </c>
      <c r="F140" s="2" t="s">
        <v>35</v>
      </c>
      <c r="G140" s="2" t="s">
        <v>69</v>
      </c>
      <c r="H140" s="2" t="str">
        <f t="shared" si="5"/>
        <v>#AppleEvent</v>
      </c>
      <c r="I140" s="8">
        <v>23969</v>
      </c>
      <c r="J140" s="8">
        <v>1433</v>
      </c>
      <c r="K140" s="8">
        <v>372</v>
      </c>
      <c r="L140" s="8">
        <v>1092</v>
      </c>
      <c r="M140" s="9">
        <v>32147</v>
      </c>
      <c r="N140" s="2">
        <v>145823</v>
      </c>
      <c r="O140" s="2" t="s">
        <v>31</v>
      </c>
    </row>
    <row r="141" spans="1:15">
      <c r="A141" s="2" t="s">
        <v>273</v>
      </c>
      <c r="B141" s="2" t="s">
        <v>26</v>
      </c>
      <c r="C141" s="3" t="s">
        <v>274</v>
      </c>
      <c r="D141" s="2" t="s">
        <v>28</v>
      </c>
      <c r="E141" s="2" t="str">
        <f t="shared" si="4"/>
        <v>#AppleMusic#AppleLifestyle</v>
      </c>
      <c r="F141" s="2" t="s">
        <v>44</v>
      </c>
      <c r="G141" s="2" t="s">
        <v>45</v>
      </c>
      <c r="H141" s="2" t="str">
        <f t="shared" si="5"/>
        <v>#AppleMusic</v>
      </c>
      <c r="I141" s="8">
        <v>14891</v>
      </c>
      <c r="J141" s="8">
        <v>674</v>
      </c>
      <c r="K141" s="8">
        <v>521</v>
      </c>
      <c r="L141" s="8">
        <v>1091</v>
      </c>
      <c r="M141" s="9">
        <v>18101</v>
      </c>
      <c r="N141" s="2">
        <v>53669</v>
      </c>
      <c r="O141" s="2" t="s">
        <v>19</v>
      </c>
    </row>
    <row r="142" spans="1:15">
      <c r="A142" s="2" t="s">
        <v>275</v>
      </c>
      <c r="B142" s="2" t="s">
        <v>21</v>
      </c>
      <c r="C142" s="4">
        <v>45933</v>
      </c>
      <c r="D142" s="2" t="s">
        <v>16</v>
      </c>
      <c r="E142" s="2" t="str">
        <f t="shared" si="4"/>
        <v>#iPhone16Launch#AppleEvent</v>
      </c>
      <c r="F142" s="2" t="s">
        <v>55</v>
      </c>
      <c r="G142" s="2" t="s">
        <v>35</v>
      </c>
      <c r="H142" s="2" t="str">
        <f t="shared" si="5"/>
        <v>#iPhone16Launch</v>
      </c>
      <c r="I142" s="8">
        <v>6777</v>
      </c>
      <c r="J142" s="8">
        <v>617</v>
      </c>
      <c r="K142" s="8">
        <v>551</v>
      </c>
      <c r="L142" s="8">
        <v>2109</v>
      </c>
      <c r="M142" s="9">
        <v>18559</v>
      </c>
      <c r="N142" s="2">
        <v>208452</v>
      </c>
      <c r="O142" s="2" t="s">
        <v>24</v>
      </c>
    </row>
    <row r="143" spans="1:15">
      <c r="A143" s="2" t="s">
        <v>276</v>
      </c>
      <c r="B143" s="2" t="s">
        <v>26</v>
      </c>
      <c r="C143" s="3" t="s">
        <v>277</v>
      </c>
      <c r="D143" s="2" t="s">
        <v>43</v>
      </c>
      <c r="E143" s="2" t="str">
        <f t="shared" si="4"/>
        <v>#AppleDesign#Innovation</v>
      </c>
      <c r="F143" s="2" t="s">
        <v>29</v>
      </c>
      <c r="G143" s="2" t="s">
        <v>30</v>
      </c>
      <c r="H143" s="2" t="str">
        <f t="shared" si="5"/>
        <v>#AppleDesign</v>
      </c>
      <c r="I143" s="8">
        <v>5900</v>
      </c>
      <c r="J143" s="8">
        <v>546</v>
      </c>
      <c r="K143" s="8">
        <v>592</v>
      </c>
      <c r="L143" s="8">
        <v>1594</v>
      </c>
      <c r="M143" s="9">
        <v>38627</v>
      </c>
      <c r="N143" s="2">
        <v>164398</v>
      </c>
      <c r="O143" s="2" t="s">
        <v>62</v>
      </c>
    </row>
    <row r="144" spans="1:15">
      <c r="A144" s="2" t="s">
        <v>278</v>
      </c>
      <c r="B144" s="2" t="s">
        <v>21</v>
      </c>
      <c r="C144" s="3" t="s">
        <v>248</v>
      </c>
      <c r="D144" s="2" t="s">
        <v>16</v>
      </c>
      <c r="E144" s="2" t="str">
        <f t="shared" si="4"/>
        <v>#AppleDesign#Innovation</v>
      </c>
      <c r="F144" s="2" t="s">
        <v>29</v>
      </c>
      <c r="G144" s="2" t="s">
        <v>30</v>
      </c>
      <c r="H144" s="2" t="str">
        <f t="shared" si="5"/>
        <v>#AppleDesign</v>
      </c>
      <c r="I144" s="8">
        <v>15716</v>
      </c>
      <c r="J144" s="8">
        <v>839</v>
      </c>
      <c r="K144" s="8">
        <v>639</v>
      </c>
      <c r="L144" s="8">
        <v>2839</v>
      </c>
      <c r="M144" s="9">
        <v>349</v>
      </c>
      <c r="N144" s="2">
        <v>150677</v>
      </c>
      <c r="O144" s="2" t="s">
        <v>31</v>
      </c>
    </row>
    <row r="145" spans="1:15">
      <c r="A145" s="2" t="s">
        <v>279</v>
      </c>
      <c r="B145" s="2" t="s">
        <v>21</v>
      </c>
      <c r="C145" s="3" t="s">
        <v>168</v>
      </c>
      <c r="D145" s="2" t="s">
        <v>43</v>
      </c>
      <c r="E145" s="2" t="str">
        <f t="shared" si="4"/>
        <v>#iPhonePhotography#ShotOniPhone</v>
      </c>
      <c r="F145" s="2" t="s">
        <v>77</v>
      </c>
      <c r="G145" s="2" t="s">
        <v>40</v>
      </c>
      <c r="H145" s="2" t="str">
        <f t="shared" si="5"/>
        <v>#iPhonePhotography</v>
      </c>
      <c r="I145" s="8">
        <v>8981</v>
      </c>
      <c r="J145" s="8">
        <v>1138</v>
      </c>
      <c r="K145" s="8">
        <v>764</v>
      </c>
      <c r="L145" s="8">
        <v>2555</v>
      </c>
      <c r="M145" s="9">
        <v>92810</v>
      </c>
      <c r="N145" s="2">
        <v>88320</v>
      </c>
      <c r="O145" s="2" t="s">
        <v>62</v>
      </c>
    </row>
    <row r="146" spans="1:15">
      <c r="A146" s="2" t="s">
        <v>280</v>
      </c>
      <c r="B146" s="2" t="s">
        <v>21</v>
      </c>
      <c r="C146" s="3" t="s">
        <v>33</v>
      </c>
      <c r="D146" s="2" t="s">
        <v>43</v>
      </c>
      <c r="E146" s="2" t="str">
        <f t="shared" si="4"/>
        <v>#MacBookAirM3#AppleInnovation</v>
      </c>
      <c r="F146" s="2" t="s">
        <v>22</v>
      </c>
      <c r="G146" s="2" t="s">
        <v>23</v>
      </c>
      <c r="H146" s="2" t="str">
        <f t="shared" si="5"/>
        <v>#MacBookAirM3</v>
      </c>
      <c r="I146" s="8">
        <v>8376</v>
      </c>
      <c r="J146" s="8">
        <v>1154</v>
      </c>
      <c r="K146" s="8">
        <v>422</v>
      </c>
      <c r="L146" s="8">
        <v>1907</v>
      </c>
      <c r="M146" s="9">
        <v>36874</v>
      </c>
      <c r="N146" s="2">
        <v>218486</v>
      </c>
      <c r="O146" s="2" t="s">
        <v>31</v>
      </c>
    </row>
    <row r="147" spans="1:15">
      <c r="A147" s="2" t="s">
        <v>281</v>
      </c>
      <c r="B147" s="2" t="s">
        <v>14</v>
      </c>
      <c r="C147" s="3" t="s">
        <v>282</v>
      </c>
      <c r="D147" s="2" t="s">
        <v>28</v>
      </c>
      <c r="E147" s="2" t="str">
        <f t="shared" si="4"/>
        <v>#iPhonePhotography#ShotOniPhone</v>
      </c>
      <c r="F147" s="2" t="s">
        <v>77</v>
      </c>
      <c r="G147" s="2" t="s">
        <v>40</v>
      </c>
      <c r="H147" s="2" t="str">
        <f t="shared" si="5"/>
        <v>#iPhonePhotography</v>
      </c>
      <c r="I147" s="8">
        <v>18907</v>
      </c>
      <c r="J147" s="8">
        <v>1075</v>
      </c>
      <c r="K147" s="8">
        <v>675</v>
      </c>
      <c r="L147" s="8">
        <v>1383</v>
      </c>
      <c r="M147" s="9">
        <v>17875</v>
      </c>
      <c r="N147" s="2">
        <v>186649</v>
      </c>
      <c r="O147" s="2" t="s">
        <v>19</v>
      </c>
    </row>
    <row r="148" spans="1:15">
      <c r="A148" s="2" t="s">
        <v>283</v>
      </c>
      <c r="B148" s="2" t="s">
        <v>14</v>
      </c>
      <c r="C148" s="3" t="s">
        <v>137</v>
      </c>
      <c r="D148" s="2" t="s">
        <v>28</v>
      </c>
      <c r="E148" s="2" t="str">
        <f t="shared" si="4"/>
        <v>#iPhone16Launch#AppleEvent</v>
      </c>
      <c r="F148" s="2" t="s">
        <v>55</v>
      </c>
      <c r="G148" s="2" t="s">
        <v>35</v>
      </c>
      <c r="H148" s="2" t="str">
        <f t="shared" si="5"/>
        <v>#iPhone16Launch</v>
      </c>
      <c r="I148" s="8">
        <v>20777</v>
      </c>
      <c r="J148" s="8">
        <v>962</v>
      </c>
      <c r="K148" s="8">
        <v>308</v>
      </c>
      <c r="L148" s="8">
        <v>2777</v>
      </c>
      <c r="M148" s="9">
        <v>25529</v>
      </c>
      <c r="N148" s="2">
        <v>165354</v>
      </c>
      <c r="O148" s="2" t="s">
        <v>19</v>
      </c>
    </row>
    <row r="149" spans="1:15">
      <c r="A149" s="2" t="s">
        <v>284</v>
      </c>
      <c r="B149" s="2" t="s">
        <v>14</v>
      </c>
      <c r="C149" s="3" t="s">
        <v>139</v>
      </c>
      <c r="D149" s="2" t="s">
        <v>34</v>
      </c>
      <c r="E149" s="2" t="str">
        <f t="shared" si="4"/>
        <v>#iPhone16Launch#AppleEvent</v>
      </c>
      <c r="F149" s="2" t="s">
        <v>55</v>
      </c>
      <c r="G149" s="2" t="s">
        <v>35</v>
      </c>
      <c r="H149" s="2" t="str">
        <f t="shared" si="5"/>
        <v>#iPhone16Launch</v>
      </c>
      <c r="I149" s="8">
        <v>20977</v>
      </c>
      <c r="J149" s="8">
        <v>1402</v>
      </c>
      <c r="K149" s="8">
        <v>301</v>
      </c>
      <c r="L149" s="8">
        <v>1284</v>
      </c>
      <c r="M149" s="9">
        <v>24620</v>
      </c>
      <c r="N149" s="2">
        <v>128009</v>
      </c>
      <c r="O149" s="2" t="s">
        <v>19</v>
      </c>
    </row>
    <row r="150" spans="1:15">
      <c r="A150" s="2" t="s">
        <v>285</v>
      </c>
      <c r="B150" s="2" t="s">
        <v>26</v>
      </c>
      <c r="C150" s="3" t="s">
        <v>286</v>
      </c>
      <c r="D150" s="2" t="s">
        <v>28</v>
      </c>
      <c r="E150" s="2" t="str">
        <f t="shared" si="4"/>
        <v>#AppleWatchUltra2#HealthTech</v>
      </c>
      <c r="F150" s="2" t="s">
        <v>17</v>
      </c>
      <c r="G150" s="2" t="s">
        <v>18</v>
      </c>
      <c r="H150" s="2" t="str">
        <f t="shared" si="5"/>
        <v>#AppleWatchUltra2</v>
      </c>
      <c r="I150" s="8">
        <v>12160</v>
      </c>
      <c r="J150" s="8">
        <v>1405</v>
      </c>
      <c r="K150" s="8">
        <v>769</v>
      </c>
      <c r="L150" s="8">
        <v>1980</v>
      </c>
      <c r="M150" s="9">
        <v>33174</v>
      </c>
      <c r="N150" s="2">
        <v>226481</v>
      </c>
      <c r="O150" s="2" t="s">
        <v>19</v>
      </c>
    </row>
    <row r="151" spans="1:15">
      <c r="A151" s="2" t="s">
        <v>287</v>
      </c>
      <c r="B151" s="2" t="s">
        <v>21</v>
      </c>
      <c r="C151" s="3" t="s">
        <v>288</v>
      </c>
      <c r="D151" s="2" t="s">
        <v>34</v>
      </c>
      <c r="E151" s="2" t="str">
        <f t="shared" si="4"/>
        <v>#iPhonePhotography#ShotOniPhone</v>
      </c>
      <c r="F151" s="2" t="s">
        <v>77</v>
      </c>
      <c r="G151" s="2" t="s">
        <v>40</v>
      </c>
      <c r="H151" s="2" t="str">
        <f t="shared" si="5"/>
        <v>#iPhonePhotography</v>
      </c>
      <c r="I151" s="8">
        <v>16124</v>
      </c>
      <c r="J151" s="8">
        <v>863</v>
      </c>
      <c r="K151" s="8">
        <v>337</v>
      </c>
      <c r="L151" s="8">
        <v>819</v>
      </c>
      <c r="M151" s="9">
        <v>85788</v>
      </c>
      <c r="N151" s="2">
        <v>68625</v>
      </c>
      <c r="O151" s="2" t="s">
        <v>37</v>
      </c>
    </row>
    <row r="152" spans="1:15">
      <c r="A152" s="2" t="s">
        <v>289</v>
      </c>
      <c r="B152" s="2" t="s">
        <v>14</v>
      </c>
      <c r="C152" s="3" t="s">
        <v>153</v>
      </c>
      <c r="D152" s="2" t="s">
        <v>34</v>
      </c>
      <c r="E152" s="2" t="str">
        <f t="shared" si="4"/>
        <v>#MacBookProM3</v>
      </c>
      <c r="F152" s="2" t="s">
        <v>92</v>
      </c>
      <c r="G152" s="2"/>
      <c r="H152" s="2" t="str">
        <f t="shared" si="5"/>
        <v>#MacBookProM3</v>
      </c>
      <c r="I152" s="8">
        <v>18282</v>
      </c>
      <c r="J152" s="8">
        <v>224</v>
      </c>
      <c r="K152" s="8">
        <v>962</v>
      </c>
      <c r="L152" s="8">
        <v>890</v>
      </c>
      <c r="M152" s="9">
        <v>35105</v>
      </c>
      <c r="N152" s="2">
        <v>64089</v>
      </c>
      <c r="O152" s="2" t="s">
        <v>37</v>
      </c>
    </row>
    <row r="153" spans="1:15">
      <c r="A153" s="2" t="s">
        <v>290</v>
      </c>
      <c r="B153" s="2" t="s">
        <v>14</v>
      </c>
      <c r="C153" s="4">
        <v>45934</v>
      </c>
      <c r="D153" s="2" t="s">
        <v>34</v>
      </c>
      <c r="E153" s="2" t="str">
        <f t="shared" si="4"/>
        <v>#Sustainability#AppleEarth</v>
      </c>
      <c r="F153" s="2" t="s">
        <v>176</v>
      </c>
      <c r="G153" s="2" t="s">
        <v>177</v>
      </c>
      <c r="H153" s="2" t="str">
        <f t="shared" si="5"/>
        <v>#Sustainability</v>
      </c>
      <c r="I153" s="8">
        <v>12488</v>
      </c>
      <c r="J153" s="8">
        <v>1403</v>
      </c>
      <c r="K153" s="8">
        <v>247</v>
      </c>
      <c r="L153" s="8">
        <v>1350</v>
      </c>
      <c r="M153" s="9">
        <v>28370</v>
      </c>
      <c r="N153" s="2">
        <v>76487</v>
      </c>
      <c r="O153" s="2" t="s">
        <v>24</v>
      </c>
    </row>
    <row r="154" spans="1:15">
      <c r="A154" s="2" t="s">
        <v>291</v>
      </c>
      <c r="B154" s="2" t="s">
        <v>26</v>
      </c>
      <c r="C154" s="3" t="s">
        <v>292</v>
      </c>
      <c r="D154" s="2" t="s">
        <v>34</v>
      </c>
      <c r="E154" s="2" t="str">
        <f t="shared" si="4"/>
        <v>#MacBookAirM3#AppleInnovation</v>
      </c>
      <c r="F154" s="2" t="s">
        <v>22</v>
      </c>
      <c r="G154" s="2" t="s">
        <v>23</v>
      </c>
      <c r="H154" s="2" t="str">
        <f t="shared" si="5"/>
        <v>#MacBookAirM3</v>
      </c>
      <c r="I154" s="8">
        <v>24574</v>
      </c>
      <c r="J154" s="8">
        <v>909</v>
      </c>
      <c r="K154" s="8">
        <v>280</v>
      </c>
      <c r="L154" s="8">
        <v>2009</v>
      </c>
      <c r="M154" s="9">
        <v>6221</v>
      </c>
      <c r="N154" s="2">
        <v>236910</v>
      </c>
      <c r="O154" s="2" t="s">
        <v>62</v>
      </c>
    </row>
    <row r="155" spans="1:15">
      <c r="A155" s="2" t="s">
        <v>293</v>
      </c>
      <c r="B155" s="2" t="s">
        <v>14</v>
      </c>
      <c r="C155" s="3" t="s">
        <v>294</v>
      </c>
      <c r="D155" s="2" t="s">
        <v>34</v>
      </c>
      <c r="E155" s="2" t="str">
        <f t="shared" si="4"/>
        <v>#iPhone16Launch#AppleEvent</v>
      </c>
      <c r="F155" s="2" t="s">
        <v>55</v>
      </c>
      <c r="G155" s="2" t="s">
        <v>35</v>
      </c>
      <c r="H155" s="2" t="str">
        <f t="shared" si="5"/>
        <v>#iPhone16Launch</v>
      </c>
      <c r="I155" s="8">
        <v>7240</v>
      </c>
      <c r="J155" s="8">
        <v>1384</v>
      </c>
      <c r="K155" s="8">
        <v>954</v>
      </c>
      <c r="L155" s="8">
        <v>2335</v>
      </c>
      <c r="M155" s="9">
        <v>6757</v>
      </c>
      <c r="N155" s="2">
        <v>150448</v>
      </c>
      <c r="O155" s="2" t="s">
        <v>31</v>
      </c>
    </row>
    <row r="156" spans="1:15">
      <c r="A156" s="2" t="s">
        <v>295</v>
      </c>
      <c r="B156" s="2" t="s">
        <v>26</v>
      </c>
      <c r="C156" s="3" t="s">
        <v>296</v>
      </c>
      <c r="D156" s="2" t="s">
        <v>16</v>
      </c>
      <c r="E156" s="2" t="str">
        <f t="shared" si="4"/>
        <v>#AppleWatchUltra2#HealthTech</v>
      </c>
      <c r="F156" s="2" t="s">
        <v>17</v>
      </c>
      <c r="G156" s="2" t="s">
        <v>18</v>
      </c>
      <c r="H156" s="2" t="str">
        <f t="shared" si="5"/>
        <v>#AppleWatchUltra2</v>
      </c>
      <c r="I156" s="8">
        <v>12453</v>
      </c>
      <c r="J156" s="8">
        <v>376</v>
      </c>
      <c r="K156" s="8">
        <v>320</v>
      </c>
      <c r="L156" s="8">
        <v>2546</v>
      </c>
      <c r="M156" s="9">
        <v>22617</v>
      </c>
      <c r="N156" s="2">
        <v>90138</v>
      </c>
      <c r="O156" s="2" t="s">
        <v>31</v>
      </c>
    </row>
    <row r="157" spans="1:15">
      <c r="A157" s="2" t="s">
        <v>297</v>
      </c>
      <c r="B157" s="2" t="s">
        <v>53</v>
      </c>
      <c r="C157" s="3" t="s">
        <v>298</v>
      </c>
      <c r="D157" s="2" t="s">
        <v>28</v>
      </c>
      <c r="E157" s="2" t="str">
        <f t="shared" si="4"/>
        <v>#AppleMusic#AppleLifestyle</v>
      </c>
      <c r="F157" s="2" t="s">
        <v>44</v>
      </c>
      <c r="G157" s="2" t="s">
        <v>45</v>
      </c>
      <c r="H157" s="2" t="str">
        <f t="shared" si="5"/>
        <v>#AppleMusic</v>
      </c>
      <c r="I157" s="8">
        <v>12478</v>
      </c>
      <c r="J157" s="8">
        <v>484</v>
      </c>
      <c r="K157" s="8">
        <v>332</v>
      </c>
      <c r="L157" s="8">
        <v>2734</v>
      </c>
      <c r="M157" s="9">
        <v>43338</v>
      </c>
      <c r="N157" s="2">
        <v>213895</v>
      </c>
      <c r="O157" s="2" t="s">
        <v>37</v>
      </c>
    </row>
    <row r="158" spans="1:15">
      <c r="A158" s="2" t="s">
        <v>299</v>
      </c>
      <c r="B158" s="2" t="s">
        <v>14</v>
      </c>
      <c r="C158" s="3" t="s">
        <v>300</v>
      </c>
      <c r="D158" s="2" t="s">
        <v>34</v>
      </c>
      <c r="E158" s="2" t="str">
        <f t="shared" si="4"/>
        <v>#iPhonePhotography#ShotOniPhone</v>
      </c>
      <c r="F158" s="2" t="s">
        <v>77</v>
      </c>
      <c r="G158" s="2" t="s">
        <v>40</v>
      </c>
      <c r="H158" s="2" t="str">
        <f t="shared" si="5"/>
        <v>#iPhonePhotography</v>
      </c>
      <c r="I158" s="8">
        <v>24877</v>
      </c>
      <c r="J158" s="8">
        <v>262</v>
      </c>
      <c r="K158" s="8">
        <v>513</v>
      </c>
      <c r="L158" s="8">
        <v>648</v>
      </c>
      <c r="M158" s="9">
        <v>47544</v>
      </c>
      <c r="N158" s="2">
        <v>208280</v>
      </c>
      <c r="O158" s="2" t="s">
        <v>31</v>
      </c>
    </row>
    <row r="159" spans="1:15">
      <c r="A159" s="2" t="s">
        <v>301</v>
      </c>
      <c r="B159" s="2" t="s">
        <v>53</v>
      </c>
      <c r="C159" s="3" t="s">
        <v>302</v>
      </c>
      <c r="D159" s="2" t="s">
        <v>43</v>
      </c>
      <c r="E159" s="2" t="str">
        <f t="shared" si="4"/>
        <v>#MacBookAirM3#AppleInnovation</v>
      </c>
      <c r="F159" s="2" t="s">
        <v>22</v>
      </c>
      <c r="G159" s="2" t="s">
        <v>23</v>
      </c>
      <c r="H159" s="2" t="str">
        <f t="shared" si="5"/>
        <v>#MacBookAirM3</v>
      </c>
      <c r="I159" s="8">
        <v>14394</v>
      </c>
      <c r="J159" s="8">
        <v>1202</v>
      </c>
      <c r="K159" s="8">
        <v>188</v>
      </c>
      <c r="L159" s="8">
        <v>1259</v>
      </c>
      <c r="M159" s="9">
        <v>21925</v>
      </c>
      <c r="N159" s="2">
        <v>94061</v>
      </c>
      <c r="O159" s="2" t="s">
        <v>37</v>
      </c>
    </row>
    <row r="160" spans="1:15">
      <c r="A160" s="2" t="s">
        <v>303</v>
      </c>
      <c r="B160" s="2" t="s">
        <v>26</v>
      </c>
      <c r="C160" s="4">
        <v>45935</v>
      </c>
      <c r="D160" s="2" t="s">
        <v>28</v>
      </c>
      <c r="E160" s="2" t="str">
        <f t="shared" si="4"/>
        <v>#AppleMusic#AppleLifestyle</v>
      </c>
      <c r="F160" s="2" t="s">
        <v>44</v>
      </c>
      <c r="G160" s="2" t="s">
        <v>45</v>
      </c>
      <c r="H160" s="2" t="str">
        <f t="shared" si="5"/>
        <v>#AppleMusic</v>
      </c>
      <c r="I160" s="8">
        <v>21262</v>
      </c>
      <c r="J160" s="8">
        <v>861</v>
      </c>
      <c r="K160" s="8">
        <v>676</v>
      </c>
      <c r="L160" s="8">
        <v>2263</v>
      </c>
      <c r="M160" s="9">
        <v>12085</v>
      </c>
      <c r="N160" s="2">
        <v>201731</v>
      </c>
      <c r="O160" s="2" t="s">
        <v>24</v>
      </c>
    </row>
    <row r="161" spans="1:15">
      <c r="A161" s="2" t="s">
        <v>304</v>
      </c>
      <c r="B161" s="2" t="s">
        <v>21</v>
      </c>
      <c r="C161" s="3" t="s">
        <v>305</v>
      </c>
      <c r="D161" s="2" t="s">
        <v>28</v>
      </c>
      <c r="E161" s="2" t="str">
        <f t="shared" si="4"/>
        <v>#iPhonePhotography#ShotOniPhone</v>
      </c>
      <c r="F161" s="2" t="s">
        <v>77</v>
      </c>
      <c r="G161" s="2" t="s">
        <v>40</v>
      </c>
      <c r="H161" s="2" t="str">
        <f t="shared" si="5"/>
        <v>#iPhonePhotography</v>
      </c>
      <c r="I161" s="8">
        <v>22527</v>
      </c>
      <c r="J161" s="8">
        <v>865</v>
      </c>
      <c r="K161" s="8">
        <v>646</v>
      </c>
      <c r="L161" s="8">
        <v>992</v>
      </c>
      <c r="M161" s="9">
        <v>18654</v>
      </c>
      <c r="N161" s="2">
        <v>141376</v>
      </c>
      <c r="O161" s="2" t="s">
        <v>62</v>
      </c>
    </row>
    <row r="162" spans="1:15">
      <c r="A162" s="2" t="s">
        <v>306</v>
      </c>
      <c r="B162" s="2" t="s">
        <v>14</v>
      </c>
      <c r="C162" s="4">
        <v>45936</v>
      </c>
      <c r="D162" s="2" t="s">
        <v>34</v>
      </c>
      <c r="E162" s="2" t="str">
        <f t="shared" si="4"/>
        <v>#AppleDesign#Innovation</v>
      </c>
      <c r="F162" s="2" t="s">
        <v>29</v>
      </c>
      <c r="G162" s="2" t="s">
        <v>30</v>
      </c>
      <c r="H162" s="2" t="str">
        <f t="shared" si="5"/>
        <v>#AppleDesign</v>
      </c>
      <c r="I162" s="8">
        <v>22028</v>
      </c>
      <c r="J162" s="8">
        <v>355</v>
      </c>
      <c r="K162" s="8">
        <v>665</v>
      </c>
      <c r="L162" s="8">
        <v>1859</v>
      </c>
      <c r="M162" s="9">
        <v>50565</v>
      </c>
      <c r="N162" s="2">
        <v>202962</v>
      </c>
      <c r="O162" s="2" t="s">
        <v>24</v>
      </c>
    </row>
    <row r="163" spans="1:15">
      <c r="A163" s="2" t="s">
        <v>307</v>
      </c>
      <c r="B163" s="2" t="s">
        <v>26</v>
      </c>
      <c r="C163" s="3" t="s">
        <v>308</v>
      </c>
      <c r="D163" s="2" t="s">
        <v>16</v>
      </c>
      <c r="E163" s="2" t="str">
        <f t="shared" si="4"/>
        <v>#AppleMusic#AppleLifestyle</v>
      </c>
      <c r="F163" s="2" t="s">
        <v>44</v>
      </c>
      <c r="G163" s="2" t="s">
        <v>45</v>
      </c>
      <c r="H163" s="2" t="str">
        <f t="shared" si="5"/>
        <v>#AppleMusic</v>
      </c>
      <c r="I163" s="8">
        <v>6432</v>
      </c>
      <c r="J163" s="8">
        <v>1272</v>
      </c>
      <c r="K163" s="8">
        <v>498</v>
      </c>
      <c r="L163" s="8">
        <v>677</v>
      </c>
      <c r="M163" s="9">
        <v>47305</v>
      </c>
      <c r="N163" s="2">
        <v>119134</v>
      </c>
      <c r="O163" s="2" t="s">
        <v>19</v>
      </c>
    </row>
    <row r="164" spans="1:15">
      <c r="A164" s="2" t="s">
        <v>309</v>
      </c>
      <c r="B164" s="2" t="s">
        <v>21</v>
      </c>
      <c r="C164" s="3" t="s">
        <v>310</v>
      </c>
      <c r="D164" s="2" t="s">
        <v>34</v>
      </c>
      <c r="E164" s="2" t="str">
        <f t="shared" si="4"/>
        <v>#AppleWatchUltra2#HealthTech</v>
      </c>
      <c r="F164" s="2" t="s">
        <v>17</v>
      </c>
      <c r="G164" s="2" t="s">
        <v>18</v>
      </c>
      <c r="H164" s="2" t="str">
        <f t="shared" si="5"/>
        <v>#AppleWatchUltra2</v>
      </c>
      <c r="I164" s="8">
        <v>15568</v>
      </c>
      <c r="J164" s="8">
        <v>1166</v>
      </c>
      <c r="K164" s="8">
        <v>546</v>
      </c>
      <c r="L164" s="8">
        <v>826</v>
      </c>
      <c r="M164" s="9">
        <v>21836</v>
      </c>
      <c r="N164" s="2">
        <v>87055</v>
      </c>
      <c r="O164" s="2" t="s">
        <v>19</v>
      </c>
    </row>
    <row r="165" spans="1:15">
      <c r="A165" s="2" t="s">
        <v>311</v>
      </c>
      <c r="B165" s="2" t="s">
        <v>21</v>
      </c>
      <c r="C165" s="3" t="s">
        <v>79</v>
      </c>
      <c r="D165" s="2" t="s">
        <v>16</v>
      </c>
      <c r="E165" s="2" t="str">
        <f t="shared" si="4"/>
        <v>#MacBookAirM3#AppleInnovation</v>
      </c>
      <c r="F165" s="2" t="s">
        <v>22</v>
      </c>
      <c r="G165" s="2" t="s">
        <v>23</v>
      </c>
      <c r="H165" s="2" t="str">
        <f t="shared" si="5"/>
        <v>#MacBookAirM3</v>
      </c>
      <c r="I165" s="8">
        <v>16178</v>
      </c>
      <c r="J165" s="8">
        <v>1048</v>
      </c>
      <c r="K165" s="8">
        <v>871</v>
      </c>
      <c r="L165" s="8">
        <v>2553</v>
      </c>
      <c r="M165" s="9">
        <v>39025</v>
      </c>
      <c r="N165" s="2">
        <v>59508</v>
      </c>
      <c r="O165" s="2" t="s">
        <v>19</v>
      </c>
    </row>
    <row r="166" spans="1:15">
      <c r="A166" s="2" t="s">
        <v>312</v>
      </c>
      <c r="B166" s="2" t="s">
        <v>53</v>
      </c>
      <c r="C166" s="4">
        <v>45937</v>
      </c>
      <c r="D166" s="2" t="s">
        <v>43</v>
      </c>
      <c r="E166" s="2" t="str">
        <f t="shared" si="4"/>
        <v>#AppleWatch#Health</v>
      </c>
      <c r="F166" s="2" t="s">
        <v>48</v>
      </c>
      <c r="G166" s="2" t="s">
        <v>49</v>
      </c>
      <c r="H166" s="2" t="str">
        <f t="shared" si="5"/>
        <v>#AppleWatch</v>
      </c>
      <c r="I166" s="8">
        <v>19660</v>
      </c>
      <c r="J166" s="8">
        <v>1307</v>
      </c>
      <c r="K166" s="8">
        <v>310</v>
      </c>
      <c r="L166" s="8">
        <v>2802</v>
      </c>
      <c r="M166" s="9">
        <v>22171</v>
      </c>
      <c r="N166" s="2">
        <v>213359</v>
      </c>
      <c r="O166" s="2" t="s">
        <v>24</v>
      </c>
    </row>
    <row r="167" spans="1:15">
      <c r="A167" s="2" t="s">
        <v>313</v>
      </c>
      <c r="B167" s="2" t="s">
        <v>26</v>
      </c>
      <c r="C167" s="3" t="s">
        <v>314</v>
      </c>
      <c r="D167" s="2" t="s">
        <v>28</v>
      </c>
      <c r="E167" s="2" t="str">
        <f t="shared" si="4"/>
        <v>#AppleEvent#iPhone16</v>
      </c>
      <c r="F167" s="2" t="s">
        <v>35</v>
      </c>
      <c r="G167" s="2" t="s">
        <v>69</v>
      </c>
      <c r="H167" s="2" t="str">
        <f t="shared" si="5"/>
        <v>#AppleEvent</v>
      </c>
      <c r="I167" s="8">
        <v>24195</v>
      </c>
      <c r="J167" s="8">
        <v>888</v>
      </c>
      <c r="K167" s="8">
        <v>165</v>
      </c>
      <c r="L167" s="8">
        <v>1559</v>
      </c>
      <c r="M167" s="9">
        <v>11596</v>
      </c>
      <c r="N167" s="2">
        <v>249988</v>
      </c>
      <c r="O167" s="2" t="s">
        <v>31</v>
      </c>
    </row>
    <row r="168" spans="1:15">
      <c r="A168" s="2" t="s">
        <v>315</v>
      </c>
      <c r="B168" s="2" t="s">
        <v>21</v>
      </c>
      <c r="C168" s="3" t="s">
        <v>267</v>
      </c>
      <c r="D168" s="2" t="s">
        <v>43</v>
      </c>
      <c r="E168" s="2" t="str">
        <f t="shared" si="4"/>
        <v>#AppleEvent#iPhone16</v>
      </c>
      <c r="F168" s="2" t="s">
        <v>35</v>
      </c>
      <c r="G168" s="2" t="s">
        <v>69</v>
      </c>
      <c r="H168" s="2" t="str">
        <f t="shared" si="5"/>
        <v>#AppleEvent</v>
      </c>
      <c r="I168" s="8">
        <v>2302</v>
      </c>
      <c r="J168" s="8">
        <v>347</v>
      </c>
      <c r="K168" s="8">
        <v>642</v>
      </c>
      <c r="L168" s="8">
        <v>2175</v>
      </c>
      <c r="M168" s="9">
        <v>56378</v>
      </c>
      <c r="N168" s="2">
        <v>198056</v>
      </c>
      <c r="O168" s="2" t="s">
        <v>62</v>
      </c>
    </row>
    <row r="169" spans="1:15">
      <c r="A169" s="2" t="s">
        <v>316</v>
      </c>
      <c r="B169" s="2" t="s">
        <v>14</v>
      </c>
      <c r="C169" s="3" t="s">
        <v>317</v>
      </c>
      <c r="D169" s="2" t="s">
        <v>16</v>
      </c>
      <c r="E169" s="2" t="str">
        <f t="shared" si="4"/>
        <v>#MacBookAirM3#AppleInnovation</v>
      </c>
      <c r="F169" s="2" t="s">
        <v>22</v>
      </c>
      <c r="G169" s="2" t="s">
        <v>23</v>
      </c>
      <c r="H169" s="2" t="str">
        <f t="shared" si="5"/>
        <v>#MacBookAirM3</v>
      </c>
      <c r="I169" s="8">
        <v>19022</v>
      </c>
      <c r="J169" s="8">
        <v>541</v>
      </c>
      <c r="K169" s="8">
        <v>575</v>
      </c>
      <c r="L169" s="8">
        <v>2063</v>
      </c>
      <c r="M169" s="9">
        <v>42743</v>
      </c>
      <c r="N169" s="2">
        <v>150169</v>
      </c>
      <c r="O169" s="2" t="s">
        <v>19</v>
      </c>
    </row>
    <row r="170" spans="1:15">
      <c r="A170" s="2" t="s">
        <v>318</v>
      </c>
      <c r="B170" s="2" t="s">
        <v>14</v>
      </c>
      <c r="C170" s="3" t="s">
        <v>319</v>
      </c>
      <c r="D170" s="2" t="s">
        <v>16</v>
      </c>
      <c r="E170" s="2" t="str">
        <f t="shared" si="4"/>
        <v>#AppleMusic#AppleLifestyle</v>
      </c>
      <c r="F170" s="2" t="s">
        <v>44</v>
      </c>
      <c r="G170" s="2" t="s">
        <v>45</v>
      </c>
      <c r="H170" s="2" t="str">
        <f t="shared" si="5"/>
        <v>#AppleMusic</v>
      </c>
      <c r="I170" s="8">
        <v>2055</v>
      </c>
      <c r="J170" s="8">
        <v>675</v>
      </c>
      <c r="K170" s="8">
        <v>257</v>
      </c>
      <c r="L170" s="8">
        <v>820</v>
      </c>
      <c r="M170" s="9">
        <v>33534</v>
      </c>
      <c r="N170" s="2">
        <v>48125</v>
      </c>
      <c r="O170" s="2" t="s">
        <v>19</v>
      </c>
    </row>
    <row r="171" spans="1:15">
      <c r="A171" s="2" t="s">
        <v>320</v>
      </c>
      <c r="B171" s="2" t="s">
        <v>53</v>
      </c>
      <c r="C171" s="3" t="s">
        <v>321</v>
      </c>
      <c r="D171" s="2" t="s">
        <v>43</v>
      </c>
      <c r="E171" s="2" t="str">
        <f t="shared" si="4"/>
        <v>#iPhonePhotography#ShotOniPhone</v>
      </c>
      <c r="F171" s="2" t="s">
        <v>77</v>
      </c>
      <c r="G171" s="2" t="s">
        <v>40</v>
      </c>
      <c r="H171" s="2" t="str">
        <f t="shared" si="5"/>
        <v>#iPhonePhotography</v>
      </c>
      <c r="I171" s="8">
        <v>15013</v>
      </c>
      <c r="J171" s="8">
        <v>1286</v>
      </c>
      <c r="K171" s="8">
        <v>599</v>
      </c>
      <c r="L171" s="8">
        <v>2001</v>
      </c>
      <c r="M171" s="9">
        <v>67839</v>
      </c>
      <c r="N171" s="2">
        <v>76059</v>
      </c>
      <c r="O171" s="2" t="s">
        <v>19</v>
      </c>
    </row>
    <row r="172" spans="1:15">
      <c r="A172" s="2" t="s">
        <v>322</v>
      </c>
      <c r="B172" s="2" t="s">
        <v>21</v>
      </c>
      <c r="C172" s="3" t="s">
        <v>323</v>
      </c>
      <c r="D172" s="2" t="s">
        <v>16</v>
      </c>
      <c r="E172" s="2" t="str">
        <f t="shared" si="4"/>
        <v>#AppleWatchUltra2#HealthTech</v>
      </c>
      <c r="F172" s="2" t="s">
        <v>17</v>
      </c>
      <c r="G172" s="2" t="s">
        <v>18</v>
      </c>
      <c r="H172" s="2" t="str">
        <f t="shared" si="5"/>
        <v>#AppleWatchUltra2</v>
      </c>
      <c r="I172" s="8">
        <v>10717</v>
      </c>
      <c r="J172" s="8">
        <v>760</v>
      </c>
      <c r="K172" s="8">
        <v>460</v>
      </c>
      <c r="L172" s="8">
        <v>1316</v>
      </c>
      <c r="M172" s="9">
        <v>18164</v>
      </c>
      <c r="N172" s="2">
        <v>240641</v>
      </c>
      <c r="O172" s="2" t="s">
        <v>62</v>
      </c>
    </row>
    <row r="173" spans="1:15">
      <c r="A173" s="2" t="s">
        <v>324</v>
      </c>
      <c r="B173" s="2" t="s">
        <v>26</v>
      </c>
      <c r="C173" s="3" t="s">
        <v>325</v>
      </c>
      <c r="D173" s="2" t="s">
        <v>43</v>
      </c>
      <c r="E173" s="2" t="str">
        <f t="shared" si="4"/>
        <v>#Sustainability#AppleEarth</v>
      </c>
      <c r="F173" s="2" t="s">
        <v>176</v>
      </c>
      <c r="G173" s="2" t="s">
        <v>177</v>
      </c>
      <c r="H173" s="2" t="str">
        <f t="shared" si="5"/>
        <v>#Sustainability</v>
      </c>
      <c r="I173" s="8">
        <v>10150</v>
      </c>
      <c r="J173" s="8">
        <v>526</v>
      </c>
      <c r="K173" s="8">
        <v>888</v>
      </c>
      <c r="L173" s="8">
        <v>1313</v>
      </c>
      <c r="M173" s="9">
        <v>51605</v>
      </c>
      <c r="N173" s="2">
        <v>143409</v>
      </c>
      <c r="O173" s="2" t="s">
        <v>19</v>
      </c>
    </row>
    <row r="174" spans="1:15">
      <c r="A174" s="2" t="s">
        <v>326</v>
      </c>
      <c r="B174" s="2" t="s">
        <v>14</v>
      </c>
      <c r="C174" s="3" t="s">
        <v>327</v>
      </c>
      <c r="D174" s="2" t="s">
        <v>28</v>
      </c>
      <c r="E174" s="2" t="str">
        <f t="shared" si="4"/>
        <v>#AppleEvent#iPhone16</v>
      </c>
      <c r="F174" s="2" t="s">
        <v>35</v>
      </c>
      <c r="G174" s="2" t="s">
        <v>69</v>
      </c>
      <c r="H174" s="2" t="str">
        <f t="shared" si="5"/>
        <v>#AppleEvent</v>
      </c>
      <c r="I174" s="8">
        <v>4125</v>
      </c>
      <c r="J174" s="8">
        <v>1364</v>
      </c>
      <c r="K174" s="8">
        <v>319</v>
      </c>
      <c r="L174" s="8">
        <v>2848</v>
      </c>
      <c r="M174" s="9">
        <v>15379</v>
      </c>
      <c r="N174" s="2">
        <v>188159</v>
      </c>
      <c r="O174" s="2" t="s">
        <v>62</v>
      </c>
    </row>
    <row r="175" spans="1:15">
      <c r="A175" s="2" t="s">
        <v>328</v>
      </c>
      <c r="B175" s="2" t="s">
        <v>21</v>
      </c>
      <c r="C175" s="3" t="s">
        <v>141</v>
      </c>
      <c r="D175" s="2" t="s">
        <v>43</v>
      </c>
      <c r="E175" s="2" t="str">
        <f t="shared" si="4"/>
        <v>#AppleWatchUltra2#HealthTech</v>
      </c>
      <c r="F175" s="2" t="s">
        <v>17</v>
      </c>
      <c r="G175" s="2" t="s">
        <v>18</v>
      </c>
      <c r="H175" s="2" t="str">
        <f t="shared" si="5"/>
        <v>#AppleWatchUltra2</v>
      </c>
      <c r="I175" s="8">
        <v>13479</v>
      </c>
      <c r="J175" s="8">
        <v>1189</v>
      </c>
      <c r="K175" s="8">
        <v>695</v>
      </c>
      <c r="L175" s="8">
        <v>416</v>
      </c>
      <c r="M175" s="9">
        <v>30229</v>
      </c>
      <c r="N175" s="2">
        <v>45704</v>
      </c>
      <c r="O175" s="2" t="s">
        <v>19</v>
      </c>
    </row>
    <row r="176" spans="1:15">
      <c r="A176" s="2" t="s">
        <v>329</v>
      </c>
      <c r="B176" s="2" t="s">
        <v>21</v>
      </c>
      <c r="C176" s="4">
        <v>45938</v>
      </c>
      <c r="D176" s="2" t="s">
        <v>28</v>
      </c>
      <c r="E176" s="2" t="str">
        <f t="shared" si="4"/>
        <v>#AppleEvent#iPhone16</v>
      </c>
      <c r="F176" s="2" t="s">
        <v>35</v>
      </c>
      <c r="G176" s="2" t="s">
        <v>69</v>
      </c>
      <c r="H176" s="2" t="str">
        <f t="shared" si="5"/>
        <v>#AppleEvent</v>
      </c>
      <c r="I176" s="8">
        <v>17745</v>
      </c>
      <c r="J176" s="8">
        <v>414</v>
      </c>
      <c r="K176" s="8">
        <v>563</v>
      </c>
      <c r="L176" s="8">
        <v>2733</v>
      </c>
      <c r="M176" s="9">
        <v>995</v>
      </c>
      <c r="N176" s="2">
        <v>231648</v>
      </c>
      <c r="O176" s="2" t="s">
        <v>24</v>
      </c>
    </row>
    <row r="177" spans="1:15">
      <c r="A177" s="2" t="s">
        <v>330</v>
      </c>
      <c r="B177" s="2" t="s">
        <v>53</v>
      </c>
      <c r="C177" s="4">
        <v>45939</v>
      </c>
      <c r="D177" s="2" t="s">
        <v>43</v>
      </c>
      <c r="E177" s="2" t="str">
        <f t="shared" si="4"/>
        <v>#AppleDesign#Innovation</v>
      </c>
      <c r="F177" s="2" t="s">
        <v>29</v>
      </c>
      <c r="G177" s="2" t="s">
        <v>30</v>
      </c>
      <c r="H177" s="2" t="str">
        <f t="shared" si="5"/>
        <v>#AppleDesign</v>
      </c>
      <c r="I177" s="8">
        <v>18748</v>
      </c>
      <c r="J177" s="8">
        <v>634</v>
      </c>
      <c r="K177" s="8">
        <v>400</v>
      </c>
      <c r="L177" s="8">
        <v>1667</v>
      </c>
      <c r="M177" s="9">
        <v>75813</v>
      </c>
      <c r="N177" s="2">
        <v>244456</v>
      </c>
      <c r="O177" s="2" t="s">
        <v>24</v>
      </c>
    </row>
    <row r="178" spans="1:15">
      <c r="A178" s="2" t="s">
        <v>331</v>
      </c>
      <c r="B178" s="2" t="s">
        <v>14</v>
      </c>
      <c r="C178" s="3" t="s">
        <v>332</v>
      </c>
      <c r="D178" s="2" t="s">
        <v>16</v>
      </c>
      <c r="E178" s="2" t="str">
        <f t="shared" si="4"/>
        <v>#iPhonePhotography#ShotOniPhone</v>
      </c>
      <c r="F178" s="2" t="s">
        <v>77</v>
      </c>
      <c r="G178" s="2" t="s">
        <v>40</v>
      </c>
      <c r="H178" s="2" t="str">
        <f t="shared" si="5"/>
        <v>#iPhonePhotography</v>
      </c>
      <c r="I178" s="8">
        <v>8809</v>
      </c>
      <c r="J178" s="8">
        <v>1151</v>
      </c>
      <c r="K178" s="8">
        <v>908</v>
      </c>
      <c r="L178" s="8">
        <v>883</v>
      </c>
      <c r="M178" s="9">
        <v>42921</v>
      </c>
      <c r="N178" s="2">
        <v>151279</v>
      </c>
      <c r="O178" s="2" t="s">
        <v>62</v>
      </c>
    </row>
    <row r="179" spans="1:15">
      <c r="A179" s="2" t="s">
        <v>333</v>
      </c>
      <c r="B179" s="2" t="s">
        <v>14</v>
      </c>
      <c r="C179" s="4">
        <v>45940</v>
      </c>
      <c r="D179" s="2" t="s">
        <v>43</v>
      </c>
      <c r="E179" s="2" t="str">
        <f t="shared" si="4"/>
        <v>#AppleDesign#Innovation</v>
      </c>
      <c r="F179" s="2" t="s">
        <v>29</v>
      </c>
      <c r="G179" s="2" t="s">
        <v>30</v>
      </c>
      <c r="H179" s="2" t="str">
        <f t="shared" si="5"/>
        <v>#AppleDesign</v>
      </c>
      <c r="I179" s="8">
        <v>6621</v>
      </c>
      <c r="J179" s="8">
        <v>922</v>
      </c>
      <c r="K179" s="8">
        <v>930</v>
      </c>
      <c r="L179" s="8">
        <v>694</v>
      </c>
      <c r="M179" s="9">
        <v>839</v>
      </c>
      <c r="N179" s="2">
        <v>243532</v>
      </c>
      <c r="O179" s="2" t="s">
        <v>24</v>
      </c>
    </row>
    <row r="180" spans="1:15">
      <c r="A180" s="2" t="s">
        <v>334</v>
      </c>
      <c r="B180" s="2" t="s">
        <v>26</v>
      </c>
      <c r="C180" s="3" t="s">
        <v>274</v>
      </c>
      <c r="D180" s="2" t="s">
        <v>16</v>
      </c>
      <c r="E180" s="2" t="str">
        <f t="shared" si="4"/>
        <v>#AppleEvent#iPhone16</v>
      </c>
      <c r="F180" s="2" t="s">
        <v>35</v>
      </c>
      <c r="G180" s="2" t="s">
        <v>69</v>
      </c>
      <c r="H180" s="2" t="str">
        <f t="shared" si="5"/>
        <v>#AppleEvent</v>
      </c>
      <c r="I180" s="8">
        <v>17034</v>
      </c>
      <c r="J180" s="8">
        <v>231</v>
      </c>
      <c r="K180" s="8">
        <v>290</v>
      </c>
      <c r="L180" s="8">
        <v>1387</v>
      </c>
      <c r="M180" s="9">
        <v>63550</v>
      </c>
      <c r="N180" s="2">
        <v>198280</v>
      </c>
      <c r="O180" s="2" t="s">
        <v>62</v>
      </c>
    </row>
    <row r="181" spans="1:15">
      <c r="A181" s="2" t="s">
        <v>335</v>
      </c>
      <c r="B181" s="2" t="s">
        <v>14</v>
      </c>
      <c r="C181" s="4">
        <v>45941</v>
      </c>
      <c r="D181" s="2" t="s">
        <v>43</v>
      </c>
      <c r="E181" s="2" t="str">
        <f t="shared" si="4"/>
        <v>#AppleWatch#Health</v>
      </c>
      <c r="F181" s="2" t="s">
        <v>48</v>
      </c>
      <c r="G181" s="2" t="s">
        <v>49</v>
      </c>
      <c r="H181" s="2" t="str">
        <f t="shared" si="5"/>
        <v>#AppleWatch</v>
      </c>
      <c r="I181" s="8">
        <v>15623</v>
      </c>
      <c r="J181" s="8">
        <v>869</v>
      </c>
      <c r="K181" s="8">
        <v>423</v>
      </c>
      <c r="L181" s="8">
        <v>371</v>
      </c>
      <c r="M181" s="9">
        <v>47579</v>
      </c>
      <c r="N181" s="2">
        <v>158516</v>
      </c>
      <c r="O181" s="2" t="s">
        <v>24</v>
      </c>
    </row>
    <row r="182" spans="1:15">
      <c r="A182" s="2" t="s">
        <v>336</v>
      </c>
      <c r="B182" s="2" t="s">
        <v>26</v>
      </c>
      <c r="C182" s="4">
        <v>45942</v>
      </c>
      <c r="D182" s="2" t="s">
        <v>43</v>
      </c>
      <c r="E182" s="2" t="str">
        <f t="shared" si="4"/>
        <v>#AppleWatch#Health</v>
      </c>
      <c r="F182" s="2" t="s">
        <v>48</v>
      </c>
      <c r="G182" s="2" t="s">
        <v>49</v>
      </c>
      <c r="H182" s="2" t="str">
        <f t="shared" si="5"/>
        <v>#AppleWatch</v>
      </c>
      <c r="I182" s="8">
        <v>7126</v>
      </c>
      <c r="J182" s="8">
        <v>484</v>
      </c>
      <c r="K182" s="8">
        <v>565</v>
      </c>
      <c r="L182" s="8">
        <v>573</v>
      </c>
      <c r="M182" s="9">
        <v>7389</v>
      </c>
      <c r="N182" s="2">
        <v>237096</v>
      </c>
      <c r="O182" s="2" t="s">
        <v>24</v>
      </c>
    </row>
    <row r="183" spans="1:15">
      <c r="A183" s="2" t="s">
        <v>337</v>
      </c>
      <c r="B183" s="2" t="s">
        <v>14</v>
      </c>
      <c r="C183" s="3" t="s">
        <v>98</v>
      </c>
      <c r="D183" s="2" t="s">
        <v>34</v>
      </c>
      <c r="E183" s="2" t="str">
        <f t="shared" si="4"/>
        <v>#AppleDesign#Innovation</v>
      </c>
      <c r="F183" s="2" t="s">
        <v>29</v>
      </c>
      <c r="G183" s="2" t="s">
        <v>30</v>
      </c>
      <c r="H183" s="2" t="str">
        <f t="shared" si="5"/>
        <v>#AppleDesign</v>
      </c>
      <c r="I183" s="8">
        <v>7122</v>
      </c>
      <c r="J183" s="8">
        <v>628</v>
      </c>
      <c r="K183" s="8">
        <v>757</v>
      </c>
      <c r="L183" s="8">
        <v>2313</v>
      </c>
      <c r="M183" s="9">
        <v>50924</v>
      </c>
      <c r="N183" s="2">
        <v>210954</v>
      </c>
      <c r="O183" s="2" t="s">
        <v>62</v>
      </c>
    </row>
    <row r="184" spans="1:15">
      <c r="A184" s="2" t="s">
        <v>338</v>
      </c>
      <c r="B184" s="2" t="s">
        <v>53</v>
      </c>
      <c r="C184" s="3" t="s">
        <v>339</v>
      </c>
      <c r="D184" s="2" t="s">
        <v>16</v>
      </c>
      <c r="E184" s="2" t="str">
        <f t="shared" si="4"/>
        <v>#AppleWatch#Health</v>
      </c>
      <c r="F184" s="2" t="s">
        <v>48</v>
      </c>
      <c r="G184" s="2" t="s">
        <v>49</v>
      </c>
      <c r="H184" s="2" t="str">
        <f t="shared" si="5"/>
        <v>#AppleWatch</v>
      </c>
      <c r="I184" s="8">
        <v>20030</v>
      </c>
      <c r="J184" s="8">
        <v>485</v>
      </c>
      <c r="K184" s="8">
        <v>888</v>
      </c>
      <c r="L184" s="8">
        <v>1643</v>
      </c>
      <c r="M184" s="9">
        <v>4322</v>
      </c>
      <c r="N184" s="2">
        <v>196995</v>
      </c>
      <c r="O184" s="2" t="s">
        <v>31</v>
      </c>
    </row>
    <row r="185" spans="1:15">
      <c r="A185" s="2" t="s">
        <v>340</v>
      </c>
      <c r="B185" s="2" t="s">
        <v>14</v>
      </c>
      <c r="C185" s="4">
        <v>45943</v>
      </c>
      <c r="D185" s="2" t="s">
        <v>34</v>
      </c>
      <c r="E185" s="2" t="str">
        <f t="shared" si="4"/>
        <v>#AppleEvent#iPhone16</v>
      </c>
      <c r="F185" s="2" t="s">
        <v>35</v>
      </c>
      <c r="G185" s="2" t="s">
        <v>69</v>
      </c>
      <c r="H185" s="2" t="str">
        <f t="shared" si="5"/>
        <v>#AppleEvent</v>
      </c>
      <c r="I185" s="8">
        <v>19302</v>
      </c>
      <c r="J185" s="8">
        <v>1367</v>
      </c>
      <c r="K185" s="8">
        <v>188</v>
      </c>
      <c r="L185" s="8">
        <v>637</v>
      </c>
      <c r="M185" s="9">
        <v>31404</v>
      </c>
      <c r="N185" s="2">
        <v>154044</v>
      </c>
      <c r="O185" s="2" t="s">
        <v>24</v>
      </c>
    </row>
    <row r="186" spans="1:15">
      <c r="A186" s="2" t="s">
        <v>341</v>
      </c>
      <c r="B186" s="2" t="s">
        <v>26</v>
      </c>
      <c r="C186" s="3" t="s">
        <v>342</v>
      </c>
      <c r="D186" s="2" t="s">
        <v>16</v>
      </c>
      <c r="E186" s="2" t="str">
        <f t="shared" si="4"/>
        <v>#MacBookAirM3#AppleInnovation</v>
      </c>
      <c r="F186" s="2" t="s">
        <v>22</v>
      </c>
      <c r="G186" s="2" t="s">
        <v>23</v>
      </c>
      <c r="H186" s="2" t="str">
        <f t="shared" si="5"/>
        <v>#MacBookAirM3</v>
      </c>
      <c r="I186" s="8">
        <v>21181</v>
      </c>
      <c r="J186" s="8">
        <v>1242</v>
      </c>
      <c r="K186" s="8">
        <v>963</v>
      </c>
      <c r="L186" s="8">
        <v>1689</v>
      </c>
      <c r="M186" s="9">
        <v>49329</v>
      </c>
      <c r="N186" s="2">
        <v>69165</v>
      </c>
      <c r="O186" s="2" t="s">
        <v>19</v>
      </c>
    </row>
    <row r="187" spans="1:15">
      <c r="A187" s="2" t="s">
        <v>343</v>
      </c>
      <c r="B187" s="2" t="s">
        <v>26</v>
      </c>
      <c r="C187" s="3" t="s">
        <v>305</v>
      </c>
      <c r="D187" s="2" t="s">
        <v>34</v>
      </c>
      <c r="E187" s="2" t="str">
        <f t="shared" si="4"/>
        <v>#AppleDesign#Innovation</v>
      </c>
      <c r="F187" s="2" t="s">
        <v>29</v>
      </c>
      <c r="G187" s="2" t="s">
        <v>30</v>
      </c>
      <c r="H187" s="2" t="str">
        <f t="shared" si="5"/>
        <v>#AppleDesign</v>
      </c>
      <c r="I187" s="8">
        <v>24890</v>
      </c>
      <c r="J187" s="8">
        <v>217</v>
      </c>
      <c r="K187" s="8">
        <v>178</v>
      </c>
      <c r="L187" s="8">
        <v>906</v>
      </c>
      <c r="M187" s="9">
        <v>54826</v>
      </c>
      <c r="N187" s="2">
        <v>107203</v>
      </c>
      <c r="O187" s="2" t="s">
        <v>31</v>
      </c>
    </row>
    <row r="188" spans="1:15">
      <c r="A188" s="2" t="s">
        <v>344</v>
      </c>
      <c r="B188" s="2" t="s">
        <v>53</v>
      </c>
      <c r="C188" s="3" t="s">
        <v>345</v>
      </c>
      <c r="D188" s="2" t="s">
        <v>28</v>
      </c>
      <c r="E188" s="2" t="str">
        <f t="shared" si="4"/>
        <v>#Sustainability#AppleEarth</v>
      </c>
      <c r="F188" s="2" t="s">
        <v>176</v>
      </c>
      <c r="G188" s="2" t="s">
        <v>177</v>
      </c>
      <c r="H188" s="2" t="str">
        <f t="shared" si="5"/>
        <v>#Sustainability</v>
      </c>
      <c r="I188" s="8">
        <v>7870</v>
      </c>
      <c r="J188" s="8">
        <v>968</v>
      </c>
      <c r="K188" s="8">
        <v>626</v>
      </c>
      <c r="L188" s="8">
        <v>465</v>
      </c>
      <c r="M188" s="9">
        <v>27184</v>
      </c>
      <c r="N188" s="2">
        <v>44114</v>
      </c>
      <c r="O188" s="2" t="s">
        <v>62</v>
      </c>
    </row>
    <row r="189" spans="1:15">
      <c r="A189" s="2" t="s">
        <v>346</v>
      </c>
      <c r="B189" s="2" t="s">
        <v>14</v>
      </c>
      <c r="C189" s="3" t="s">
        <v>191</v>
      </c>
      <c r="D189" s="2" t="s">
        <v>43</v>
      </c>
      <c r="E189" s="2" t="str">
        <f t="shared" si="4"/>
        <v>#Sustainability#AppleEarth</v>
      </c>
      <c r="F189" s="2" t="s">
        <v>176</v>
      </c>
      <c r="G189" s="2" t="s">
        <v>177</v>
      </c>
      <c r="H189" s="2" t="str">
        <f t="shared" si="5"/>
        <v>#Sustainability</v>
      </c>
      <c r="I189" s="8">
        <v>3531</v>
      </c>
      <c r="J189" s="8">
        <v>789</v>
      </c>
      <c r="K189" s="8">
        <v>467</v>
      </c>
      <c r="L189" s="8">
        <v>1867</v>
      </c>
      <c r="M189" s="9">
        <v>40816</v>
      </c>
      <c r="N189" s="2">
        <v>236037</v>
      </c>
      <c r="O189" s="2" t="s">
        <v>31</v>
      </c>
    </row>
    <row r="190" spans="1:15">
      <c r="A190" s="2" t="s">
        <v>347</v>
      </c>
      <c r="B190" s="2" t="s">
        <v>14</v>
      </c>
      <c r="C190" s="3" t="s">
        <v>348</v>
      </c>
      <c r="D190" s="2" t="s">
        <v>16</v>
      </c>
      <c r="E190" s="2" t="str">
        <f t="shared" si="4"/>
        <v>#ShotOniPhone</v>
      </c>
      <c r="F190" s="2" t="s">
        <v>40</v>
      </c>
      <c r="G190" s="2"/>
      <c r="H190" s="2" t="str">
        <f t="shared" si="5"/>
        <v>#ShotOniPhone</v>
      </c>
      <c r="I190" s="8">
        <v>10172</v>
      </c>
      <c r="J190" s="8">
        <v>1398</v>
      </c>
      <c r="K190" s="8">
        <v>394</v>
      </c>
      <c r="L190" s="8">
        <v>2358</v>
      </c>
      <c r="M190" s="9">
        <v>59610</v>
      </c>
      <c r="N190" s="2">
        <v>76321</v>
      </c>
      <c r="O190" s="2" t="s">
        <v>37</v>
      </c>
    </row>
    <row r="191" spans="1:15">
      <c r="A191" s="2" t="s">
        <v>349</v>
      </c>
      <c r="B191" s="2" t="s">
        <v>53</v>
      </c>
      <c r="C191" s="3" t="s">
        <v>350</v>
      </c>
      <c r="D191" s="2" t="s">
        <v>16</v>
      </c>
      <c r="E191" s="2" t="str">
        <f t="shared" si="4"/>
        <v>#AppleMusic#AppleLifestyle</v>
      </c>
      <c r="F191" s="2" t="s">
        <v>44</v>
      </c>
      <c r="G191" s="2" t="s">
        <v>45</v>
      </c>
      <c r="H191" s="2" t="str">
        <f t="shared" si="5"/>
        <v>#AppleMusic</v>
      </c>
      <c r="I191" s="8">
        <v>21729</v>
      </c>
      <c r="J191" s="8">
        <v>1209</v>
      </c>
      <c r="K191" s="8">
        <v>897</v>
      </c>
      <c r="L191" s="8">
        <v>1624</v>
      </c>
      <c r="M191" s="9">
        <v>38771</v>
      </c>
      <c r="N191" s="2">
        <v>113297</v>
      </c>
      <c r="O191" s="2" t="s">
        <v>37</v>
      </c>
    </row>
    <row r="192" spans="1:15">
      <c r="A192" s="2" t="s">
        <v>351</v>
      </c>
      <c r="B192" s="2" t="s">
        <v>14</v>
      </c>
      <c r="C192" s="4">
        <v>45944</v>
      </c>
      <c r="D192" s="2" t="s">
        <v>43</v>
      </c>
      <c r="E192" s="2" t="str">
        <f t="shared" si="4"/>
        <v>#iPhonePhotography#ShotOniPhone</v>
      </c>
      <c r="F192" s="2" t="s">
        <v>77</v>
      </c>
      <c r="G192" s="2" t="s">
        <v>40</v>
      </c>
      <c r="H192" s="2" t="str">
        <f t="shared" si="5"/>
        <v>#iPhonePhotography</v>
      </c>
      <c r="I192" s="8">
        <v>9673</v>
      </c>
      <c r="J192" s="8">
        <v>393</v>
      </c>
      <c r="K192" s="8">
        <v>846</v>
      </c>
      <c r="L192" s="8">
        <v>1028</v>
      </c>
      <c r="M192" s="9">
        <v>55556</v>
      </c>
      <c r="N192" s="2">
        <v>136652</v>
      </c>
      <c r="O192" s="2" t="s">
        <v>24</v>
      </c>
    </row>
    <row r="193" spans="1:15">
      <c r="A193" s="2" t="s">
        <v>352</v>
      </c>
      <c r="B193" s="2" t="s">
        <v>14</v>
      </c>
      <c r="C193" s="4">
        <v>45945</v>
      </c>
      <c r="D193" s="2" t="s">
        <v>16</v>
      </c>
      <c r="E193" s="2" t="str">
        <f t="shared" si="4"/>
        <v>#AppleWatch#Health</v>
      </c>
      <c r="F193" s="2" t="s">
        <v>48</v>
      </c>
      <c r="G193" s="2" t="s">
        <v>49</v>
      </c>
      <c r="H193" s="2" t="str">
        <f t="shared" si="5"/>
        <v>#AppleWatch</v>
      </c>
      <c r="I193" s="8">
        <v>8882</v>
      </c>
      <c r="J193" s="8">
        <v>701</v>
      </c>
      <c r="K193" s="8">
        <v>421</v>
      </c>
      <c r="L193" s="8">
        <v>2343</v>
      </c>
      <c r="M193" s="9">
        <v>13588</v>
      </c>
      <c r="N193" s="2">
        <v>139304</v>
      </c>
      <c r="O193" s="2" t="s">
        <v>24</v>
      </c>
    </row>
    <row r="194" spans="1:15">
      <c r="A194" s="2" t="s">
        <v>353</v>
      </c>
      <c r="B194" s="2" t="s">
        <v>26</v>
      </c>
      <c r="C194" s="3" t="s">
        <v>354</v>
      </c>
      <c r="D194" s="2" t="s">
        <v>16</v>
      </c>
      <c r="E194" s="2" t="str">
        <f t="shared" si="4"/>
        <v>#AppleWatch#Health</v>
      </c>
      <c r="F194" s="2" t="s">
        <v>48</v>
      </c>
      <c r="G194" s="2" t="s">
        <v>49</v>
      </c>
      <c r="H194" s="2" t="str">
        <f t="shared" si="5"/>
        <v>#AppleWatch</v>
      </c>
      <c r="I194" s="8">
        <v>3906</v>
      </c>
      <c r="J194" s="8">
        <v>1187</v>
      </c>
      <c r="K194" s="8">
        <v>589</v>
      </c>
      <c r="L194" s="8">
        <v>401</v>
      </c>
      <c r="M194" s="9">
        <v>52687</v>
      </c>
      <c r="N194" s="2">
        <v>196498</v>
      </c>
      <c r="O194" s="2" t="s">
        <v>19</v>
      </c>
    </row>
    <row r="195" spans="1:15">
      <c r="A195" s="2" t="s">
        <v>355</v>
      </c>
      <c r="B195" s="2" t="s">
        <v>14</v>
      </c>
      <c r="C195" s="3" t="s">
        <v>248</v>
      </c>
      <c r="D195" s="2" t="s">
        <v>34</v>
      </c>
      <c r="E195" s="2" t="str">
        <f t="shared" ref="E195:E258" si="6">CONCATENATE(F195,G195)</f>
        <v>#AppleMusic#AppleLifestyle</v>
      </c>
      <c r="F195" s="2" t="s">
        <v>44</v>
      </c>
      <c r="G195" s="2" t="s">
        <v>45</v>
      </c>
      <c r="H195" s="2" t="str">
        <f t="shared" ref="H195:H258" si="7">IF(F195&lt;&gt;"",F195,G195)</f>
        <v>#AppleMusic</v>
      </c>
      <c r="I195" s="8">
        <v>5086</v>
      </c>
      <c r="J195" s="8">
        <v>1336</v>
      </c>
      <c r="K195" s="8">
        <v>897</v>
      </c>
      <c r="L195" s="8">
        <v>1715</v>
      </c>
      <c r="M195" s="9">
        <v>60592</v>
      </c>
      <c r="N195" s="2">
        <v>57772</v>
      </c>
      <c r="O195" s="2" t="s">
        <v>31</v>
      </c>
    </row>
    <row r="196" spans="1:15">
      <c r="A196" s="2" t="s">
        <v>356</v>
      </c>
      <c r="B196" s="2" t="s">
        <v>14</v>
      </c>
      <c r="C196" s="3" t="s">
        <v>357</v>
      </c>
      <c r="D196" s="2" t="s">
        <v>16</v>
      </c>
      <c r="E196" s="2" t="str">
        <f t="shared" si="6"/>
        <v>#iPhone16Launch#AppleEvent</v>
      </c>
      <c r="F196" s="2" t="s">
        <v>55</v>
      </c>
      <c r="G196" s="2" t="s">
        <v>35</v>
      </c>
      <c r="H196" s="2" t="str">
        <f t="shared" si="7"/>
        <v>#iPhone16Launch</v>
      </c>
      <c r="I196" s="8">
        <v>15503</v>
      </c>
      <c r="J196" s="8">
        <v>313</v>
      </c>
      <c r="K196" s="8">
        <v>388</v>
      </c>
      <c r="L196" s="8">
        <v>1078</v>
      </c>
      <c r="M196" s="9">
        <v>11500</v>
      </c>
      <c r="N196" s="2">
        <v>143754</v>
      </c>
      <c r="O196" s="2" t="s">
        <v>37</v>
      </c>
    </row>
    <row r="197" spans="1:15">
      <c r="A197" s="2" t="s">
        <v>358</v>
      </c>
      <c r="B197" s="2" t="s">
        <v>53</v>
      </c>
      <c r="C197" s="4">
        <v>45918</v>
      </c>
      <c r="D197" s="2" t="s">
        <v>28</v>
      </c>
      <c r="E197" s="2" t="str">
        <f t="shared" si="6"/>
        <v>#MacBookProM3</v>
      </c>
      <c r="F197" s="2" t="s">
        <v>92</v>
      </c>
      <c r="G197" s="2"/>
      <c r="H197" s="2" t="str">
        <f t="shared" si="7"/>
        <v>#MacBookProM3</v>
      </c>
      <c r="I197" s="8">
        <v>10152</v>
      </c>
      <c r="J197" s="8">
        <v>1445</v>
      </c>
      <c r="K197" s="8">
        <v>526</v>
      </c>
      <c r="L197" s="8">
        <v>513</v>
      </c>
      <c r="M197" s="9">
        <v>18959</v>
      </c>
      <c r="N197" s="2">
        <v>43712</v>
      </c>
      <c r="O197" s="2" t="s">
        <v>24</v>
      </c>
    </row>
    <row r="198" spans="1:15">
      <c r="A198" s="2" t="s">
        <v>359</v>
      </c>
      <c r="B198" s="2" t="s">
        <v>53</v>
      </c>
      <c r="C198" s="3" t="s">
        <v>298</v>
      </c>
      <c r="D198" s="2" t="s">
        <v>28</v>
      </c>
      <c r="E198" s="2" t="str">
        <f t="shared" si="6"/>
        <v>#AppleDesign#Innovation</v>
      </c>
      <c r="F198" s="2" t="s">
        <v>29</v>
      </c>
      <c r="G198" s="2" t="s">
        <v>30</v>
      </c>
      <c r="H198" s="2" t="str">
        <f t="shared" si="7"/>
        <v>#AppleDesign</v>
      </c>
      <c r="I198" s="8">
        <v>7750</v>
      </c>
      <c r="J198" s="8">
        <v>1146</v>
      </c>
      <c r="K198" s="8">
        <v>415</v>
      </c>
      <c r="L198" s="8">
        <v>1411</v>
      </c>
      <c r="M198" s="9">
        <v>85339</v>
      </c>
      <c r="N198" s="2">
        <v>172439</v>
      </c>
      <c r="O198" s="2" t="s">
        <v>31</v>
      </c>
    </row>
    <row r="199" spans="1:15">
      <c r="A199" s="2" t="s">
        <v>360</v>
      </c>
      <c r="B199" s="2" t="s">
        <v>21</v>
      </c>
      <c r="C199" s="4">
        <v>45919</v>
      </c>
      <c r="D199" s="2" t="s">
        <v>43</v>
      </c>
      <c r="E199" s="2" t="str">
        <f t="shared" si="6"/>
        <v>#AppleEvent#iPadPro</v>
      </c>
      <c r="F199" s="2" t="s">
        <v>35</v>
      </c>
      <c r="G199" s="2" t="s">
        <v>36</v>
      </c>
      <c r="H199" s="2" t="str">
        <f t="shared" si="7"/>
        <v>#AppleEvent</v>
      </c>
      <c r="I199" s="8">
        <v>14772</v>
      </c>
      <c r="J199" s="8">
        <v>1030</v>
      </c>
      <c r="K199" s="8">
        <v>508</v>
      </c>
      <c r="L199" s="8">
        <v>1876</v>
      </c>
      <c r="M199" s="9">
        <v>8882</v>
      </c>
      <c r="N199" s="2">
        <v>155142</v>
      </c>
      <c r="O199" s="2" t="s">
        <v>24</v>
      </c>
    </row>
    <row r="200" spans="1:15">
      <c r="A200" s="2" t="s">
        <v>361</v>
      </c>
      <c r="B200" s="2" t="s">
        <v>26</v>
      </c>
      <c r="C200" s="4">
        <v>45920</v>
      </c>
      <c r="D200" s="2" t="s">
        <v>16</v>
      </c>
      <c r="E200" s="2" t="str">
        <f t="shared" si="6"/>
        <v>#AppleWatch#Health</v>
      </c>
      <c r="F200" s="2" t="s">
        <v>48</v>
      </c>
      <c r="G200" s="2" t="s">
        <v>49</v>
      </c>
      <c r="H200" s="2" t="str">
        <f t="shared" si="7"/>
        <v>#AppleWatch</v>
      </c>
      <c r="I200" s="8">
        <v>12267</v>
      </c>
      <c r="J200" s="8">
        <v>1487</v>
      </c>
      <c r="K200" s="8">
        <v>489</v>
      </c>
      <c r="L200" s="8">
        <v>2748</v>
      </c>
      <c r="M200" s="9">
        <v>34685</v>
      </c>
      <c r="N200" s="2">
        <v>131736</v>
      </c>
      <c r="O200" s="2" t="s">
        <v>24</v>
      </c>
    </row>
    <row r="201" spans="1:15">
      <c r="A201" s="2" t="s">
        <v>362</v>
      </c>
      <c r="B201" s="2" t="s">
        <v>14</v>
      </c>
      <c r="C201" s="3" t="s">
        <v>363</v>
      </c>
      <c r="D201" s="2" t="s">
        <v>43</v>
      </c>
      <c r="E201" s="2" t="str">
        <f t="shared" si="6"/>
        <v>#iPhonePhotography#ShotOniPhone</v>
      </c>
      <c r="F201" s="2" t="s">
        <v>77</v>
      </c>
      <c r="G201" s="2" t="s">
        <v>40</v>
      </c>
      <c r="H201" s="2" t="str">
        <f t="shared" si="7"/>
        <v>#iPhonePhotography</v>
      </c>
      <c r="I201" s="8">
        <v>3062</v>
      </c>
      <c r="J201" s="8">
        <v>1124</v>
      </c>
      <c r="K201" s="8">
        <v>538</v>
      </c>
      <c r="L201" s="8">
        <v>2935</v>
      </c>
      <c r="M201" s="9">
        <v>69749</v>
      </c>
      <c r="N201" s="2">
        <v>91924</v>
      </c>
      <c r="O201" s="2" t="s">
        <v>37</v>
      </c>
    </row>
    <row r="202" spans="1:15">
      <c r="A202" s="2" t="s">
        <v>364</v>
      </c>
      <c r="B202" s="2" t="s">
        <v>14</v>
      </c>
      <c r="C202" s="3" t="s">
        <v>365</v>
      </c>
      <c r="D202" s="2" t="s">
        <v>28</v>
      </c>
      <c r="E202" s="2" t="str">
        <f t="shared" si="6"/>
        <v>#ShotOniPhone</v>
      </c>
      <c r="F202" s="2" t="s">
        <v>40</v>
      </c>
      <c r="G202" s="2"/>
      <c r="H202" s="2" t="str">
        <f t="shared" si="7"/>
        <v>#ShotOniPhone</v>
      </c>
      <c r="I202" s="8">
        <v>20360</v>
      </c>
      <c r="J202" s="8">
        <v>254</v>
      </c>
      <c r="K202" s="8">
        <v>726</v>
      </c>
      <c r="L202" s="8">
        <v>1995</v>
      </c>
      <c r="M202" s="9">
        <v>14280</v>
      </c>
      <c r="N202" s="2">
        <v>43726</v>
      </c>
      <c r="O202" s="2" t="s">
        <v>37</v>
      </c>
    </row>
    <row r="203" spans="1:15">
      <c r="A203" s="2" t="s">
        <v>366</v>
      </c>
      <c r="B203" s="2" t="s">
        <v>21</v>
      </c>
      <c r="C203" s="4">
        <v>45921</v>
      </c>
      <c r="D203" s="2" t="s">
        <v>16</v>
      </c>
      <c r="E203" s="2" t="str">
        <f t="shared" si="6"/>
        <v>#Sustainability#AppleEarth</v>
      </c>
      <c r="F203" s="2" t="s">
        <v>176</v>
      </c>
      <c r="G203" s="2" t="s">
        <v>177</v>
      </c>
      <c r="H203" s="2" t="str">
        <f t="shared" si="7"/>
        <v>#Sustainability</v>
      </c>
      <c r="I203" s="8">
        <v>19680</v>
      </c>
      <c r="J203" s="8">
        <v>999</v>
      </c>
      <c r="K203" s="8">
        <v>838</v>
      </c>
      <c r="L203" s="8">
        <v>891</v>
      </c>
      <c r="M203" s="9">
        <v>29576</v>
      </c>
      <c r="N203" s="2">
        <v>129152</v>
      </c>
      <c r="O203" s="2" t="s">
        <v>24</v>
      </c>
    </row>
    <row r="204" spans="1:15">
      <c r="A204" s="2" t="s">
        <v>367</v>
      </c>
      <c r="B204" s="2" t="s">
        <v>14</v>
      </c>
      <c r="C204" s="3" t="s">
        <v>368</v>
      </c>
      <c r="D204" s="2" t="s">
        <v>16</v>
      </c>
      <c r="E204" s="2" t="str">
        <f t="shared" si="6"/>
        <v>#AppleWatch#Health</v>
      </c>
      <c r="F204" s="2" t="s">
        <v>48</v>
      </c>
      <c r="G204" s="2" t="s">
        <v>49</v>
      </c>
      <c r="H204" s="2" t="str">
        <f t="shared" si="7"/>
        <v>#AppleWatch</v>
      </c>
      <c r="I204" s="8">
        <v>8229</v>
      </c>
      <c r="J204" s="8">
        <v>977</v>
      </c>
      <c r="K204" s="8">
        <v>152</v>
      </c>
      <c r="L204" s="8">
        <v>1633</v>
      </c>
      <c r="M204" s="9">
        <v>71447</v>
      </c>
      <c r="N204" s="2">
        <v>67723</v>
      </c>
      <c r="O204" s="2" t="s">
        <v>62</v>
      </c>
    </row>
    <row r="205" spans="1:15">
      <c r="A205" s="2" t="s">
        <v>369</v>
      </c>
      <c r="B205" s="2" t="s">
        <v>26</v>
      </c>
      <c r="C205" s="4">
        <v>45922</v>
      </c>
      <c r="D205" s="2" t="s">
        <v>43</v>
      </c>
      <c r="E205" s="2" t="str">
        <f t="shared" si="6"/>
        <v>#ShotOniPhone</v>
      </c>
      <c r="F205" s="2" t="s">
        <v>40</v>
      </c>
      <c r="G205" s="2"/>
      <c r="H205" s="2" t="str">
        <f t="shared" si="7"/>
        <v>#ShotOniPhone</v>
      </c>
      <c r="I205" s="8">
        <v>18509</v>
      </c>
      <c r="J205" s="8">
        <v>361</v>
      </c>
      <c r="K205" s="8">
        <v>578</v>
      </c>
      <c r="L205" s="8">
        <v>1409</v>
      </c>
      <c r="M205" s="9">
        <v>10569</v>
      </c>
      <c r="N205" s="2">
        <v>166969</v>
      </c>
      <c r="O205" s="2" t="s">
        <v>24</v>
      </c>
    </row>
    <row r="206" spans="1:15">
      <c r="A206" s="2" t="s">
        <v>370</v>
      </c>
      <c r="B206" s="2" t="s">
        <v>21</v>
      </c>
      <c r="C206" s="4">
        <v>45923</v>
      </c>
      <c r="D206" s="2" t="s">
        <v>28</v>
      </c>
      <c r="E206" s="2" t="str">
        <f t="shared" si="6"/>
        <v>#AppleEvent#iPhone16</v>
      </c>
      <c r="F206" s="2" t="s">
        <v>35</v>
      </c>
      <c r="G206" s="2" t="s">
        <v>69</v>
      </c>
      <c r="H206" s="2" t="str">
        <f t="shared" si="7"/>
        <v>#AppleEvent</v>
      </c>
      <c r="I206" s="8">
        <v>17147</v>
      </c>
      <c r="J206" s="8">
        <v>286</v>
      </c>
      <c r="K206" s="8">
        <v>291</v>
      </c>
      <c r="L206" s="8">
        <v>2439</v>
      </c>
      <c r="M206" s="9">
        <v>45631</v>
      </c>
      <c r="N206" s="2">
        <v>140494</v>
      </c>
      <c r="O206" s="2" t="s">
        <v>24</v>
      </c>
    </row>
    <row r="207" spans="1:15">
      <c r="A207" s="2" t="s">
        <v>371</v>
      </c>
      <c r="B207" s="2" t="s">
        <v>26</v>
      </c>
      <c r="C207" s="3" t="s">
        <v>42</v>
      </c>
      <c r="D207" s="2" t="s">
        <v>16</v>
      </c>
      <c r="E207" s="2" t="str">
        <f t="shared" si="6"/>
        <v>#AppleEvent#iPhone16</v>
      </c>
      <c r="F207" s="2" t="s">
        <v>35</v>
      </c>
      <c r="G207" s="2" t="s">
        <v>69</v>
      </c>
      <c r="H207" s="2" t="str">
        <f t="shared" si="7"/>
        <v>#AppleEvent</v>
      </c>
      <c r="I207" s="8">
        <v>6632</v>
      </c>
      <c r="J207" s="8">
        <v>254</v>
      </c>
      <c r="K207" s="8">
        <v>525</v>
      </c>
      <c r="L207" s="8">
        <v>1013</v>
      </c>
      <c r="M207" s="9">
        <v>13838</v>
      </c>
      <c r="N207" s="2">
        <v>180180</v>
      </c>
      <c r="O207" s="2" t="s">
        <v>19</v>
      </c>
    </row>
    <row r="208" spans="1:15">
      <c r="A208" s="2" t="s">
        <v>372</v>
      </c>
      <c r="B208" s="2" t="s">
        <v>21</v>
      </c>
      <c r="C208" s="3" t="s">
        <v>373</v>
      </c>
      <c r="D208" s="2" t="s">
        <v>43</v>
      </c>
      <c r="E208" s="2" t="str">
        <f t="shared" si="6"/>
        <v>#MacBookProM3</v>
      </c>
      <c r="F208" s="2" t="s">
        <v>92</v>
      </c>
      <c r="G208" s="2"/>
      <c r="H208" s="2" t="str">
        <f t="shared" si="7"/>
        <v>#MacBookProM3</v>
      </c>
      <c r="I208" s="8">
        <v>8288</v>
      </c>
      <c r="J208" s="8">
        <v>1401</v>
      </c>
      <c r="K208" s="8">
        <v>819</v>
      </c>
      <c r="L208" s="8">
        <v>1235</v>
      </c>
      <c r="M208" s="9">
        <v>33446</v>
      </c>
      <c r="N208" s="2">
        <v>248786</v>
      </c>
      <c r="O208" s="2" t="s">
        <v>19</v>
      </c>
    </row>
    <row r="209" spans="1:15">
      <c r="A209" s="2" t="s">
        <v>374</v>
      </c>
      <c r="B209" s="2" t="s">
        <v>21</v>
      </c>
      <c r="C209" s="3" t="s">
        <v>42</v>
      </c>
      <c r="D209" s="2" t="s">
        <v>28</v>
      </c>
      <c r="E209" s="2" t="str">
        <f t="shared" si="6"/>
        <v>#MacBookAirM3#AppleInnovation</v>
      </c>
      <c r="F209" s="2" t="s">
        <v>22</v>
      </c>
      <c r="G209" s="2" t="s">
        <v>23</v>
      </c>
      <c r="H209" s="2" t="str">
        <f t="shared" si="7"/>
        <v>#MacBookAirM3</v>
      </c>
      <c r="I209" s="8">
        <v>5596</v>
      </c>
      <c r="J209" s="8">
        <v>1231</v>
      </c>
      <c r="K209" s="8">
        <v>473</v>
      </c>
      <c r="L209" s="8">
        <v>2251</v>
      </c>
      <c r="M209" s="9">
        <v>43705</v>
      </c>
      <c r="N209" s="2">
        <v>75643</v>
      </c>
      <c r="O209" s="2" t="s">
        <v>19</v>
      </c>
    </row>
    <row r="210" spans="1:15">
      <c r="A210" s="2" t="s">
        <v>375</v>
      </c>
      <c r="B210" s="2" t="s">
        <v>53</v>
      </c>
      <c r="C210" s="3" t="s">
        <v>376</v>
      </c>
      <c r="D210" s="2" t="s">
        <v>43</v>
      </c>
      <c r="E210" s="2" t="str">
        <f t="shared" si="6"/>
        <v>#AppleEvent#iPadPro</v>
      </c>
      <c r="F210" s="2" t="s">
        <v>35</v>
      </c>
      <c r="G210" s="2" t="s">
        <v>36</v>
      </c>
      <c r="H210" s="2" t="str">
        <f t="shared" si="7"/>
        <v>#AppleEvent</v>
      </c>
      <c r="I210" s="8">
        <v>13475</v>
      </c>
      <c r="J210" s="8">
        <v>1032</v>
      </c>
      <c r="K210" s="8">
        <v>295</v>
      </c>
      <c r="L210" s="8">
        <v>541</v>
      </c>
      <c r="M210" s="9">
        <v>43666</v>
      </c>
      <c r="N210" s="2">
        <v>202396</v>
      </c>
      <c r="O210" s="2" t="s">
        <v>62</v>
      </c>
    </row>
    <row r="211" spans="1:15">
      <c r="A211" s="2" t="s">
        <v>377</v>
      </c>
      <c r="B211" s="2" t="s">
        <v>26</v>
      </c>
      <c r="C211" s="3" t="s">
        <v>378</v>
      </c>
      <c r="D211" s="2" t="s">
        <v>34</v>
      </c>
      <c r="E211" s="2" t="str">
        <f t="shared" si="6"/>
        <v>#iPhone16Launch#AppleEvent</v>
      </c>
      <c r="F211" s="2" t="s">
        <v>55</v>
      </c>
      <c r="G211" s="2" t="s">
        <v>35</v>
      </c>
      <c r="H211" s="2" t="str">
        <f t="shared" si="7"/>
        <v>#iPhone16Launch</v>
      </c>
      <c r="I211" s="8">
        <v>8168</v>
      </c>
      <c r="J211" s="8">
        <v>512</v>
      </c>
      <c r="K211" s="8">
        <v>442</v>
      </c>
      <c r="L211" s="8">
        <v>2343</v>
      </c>
      <c r="M211" s="9">
        <v>2753</v>
      </c>
      <c r="N211" s="2">
        <v>143896</v>
      </c>
      <c r="O211" s="2" t="s">
        <v>62</v>
      </c>
    </row>
    <row r="212" spans="1:15">
      <c r="A212" s="2" t="s">
        <v>379</v>
      </c>
      <c r="B212" s="2" t="s">
        <v>14</v>
      </c>
      <c r="C212" s="4">
        <v>45924</v>
      </c>
      <c r="D212" s="2" t="s">
        <v>16</v>
      </c>
      <c r="E212" s="2" t="str">
        <f t="shared" si="6"/>
        <v>#MacBookProM3</v>
      </c>
      <c r="F212" s="2" t="s">
        <v>92</v>
      </c>
      <c r="G212" s="2"/>
      <c r="H212" s="2" t="str">
        <f t="shared" si="7"/>
        <v>#MacBookProM3</v>
      </c>
      <c r="I212" s="8">
        <v>11795</v>
      </c>
      <c r="J212" s="8">
        <v>958</v>
      </c>
      <c r="K212" s="8">
        <v>814</v>
      </c>
      <c r="L212" s="8">
        <v>301</v>
      </c>
      <c r="M212" s="9">
        <v>12564</v>
      </c>
      <c r="N212" s="2">
        <v>179999</v>
      </c>
      <c r="O212" s="2" t="s">
        <v>24</v>
      </c>
    </row>
    <row r="213" spans="1:15">
      <c r="A213" s="2" t="s">
        <v>380</v>
      </c>
      <c r="B213" s="2" t="s">
        <v>14</v>
      </c>
      <c r="C213" s="3" t="s">
        <v>165</v>
      </c>
      <c r="D213" s="2" t="s">
        <v>34</v>
      </c>
      <c r="E213" s="2" t="str">
        <f t="shared" si="6"/>
        <v>#AppleWatchUltra2#HealthTech</v>
      </c>
      <c r="F213" s="2" t="s">
        <v>17</v>
      </c>
      <c r="G213" s="2" t="s">
        <v>18</v>
      </c>
      <c r="H213" s="2" t="str">
        <f t="shared" si="7"/>
        <v>#AppleWatchUltra2</v>
      </c>
      <c r="I213" s="8">
        <v>9561</v>
      </c>
      <c r="J213" s="8">
        <v>642</v>
      </c>
      <c r="K213" s="8">
        <v>581</v>
      </c>
      <c r="L213" s="8">
        <v>2572</v>
      </c>
      <c r="M213" s="9">
        <v>38552</v>
      </c>
      <c r="N213" s="2">
        <v>133680</v>
      </c>
      <c r="O213" s="2" t="s">
        <v>19</v>
      </c>
    </row>
    <row r="214" spans="1:15">
      <c r="A214" s="2" t="s">
        <v>381</v>
      </c>
      <c r="B214" s="2" t="s">
        <v>26</v>
      </c>
      <c r="C214" s="3" t="s">
        <v>382</v>
      </c>
      <c r="D214" s="2" t="s">
        <v>28</v>
      </c>
      <c r="E214" s="2" t="str">
        <f t="shared" si="6"/>
        <v>#iPhone16Launch#AppleEvent</v>
      </c>
      <c r="F214" s="2" t="s">
        <v>55</v>
      </c>
      <c r="G214" s="2" t="s">
        <v>35</v>
      </c>
      <c r="H214" s="2" t="str">
        <f t="shared" si="7"/>
        <v>#iPhone16Launch</v>
      </c>
      <c r="I214" s="8">
        <v>10258</v>
      </c>
      <c r="J214" s="8">
        <v>527</v>
      </c>
      <c r="K214" s="8">
        <v>854</v>
      </c>
      <c r="L214" s="8">
        <v>2068</v>
      </c>
      <c r="M214" s="9">
        <v>45632</v>
      </c>
      <c r="N214" s="2">
        <v>136546</v>
      </c>
      <c r="O214" s="2" t="s">
        <v>62</v>
      </c>
    </row>
    <row r="215" spans="1:15">
      <c r="A215" s="2" t="s">
        <v>383</v>
      </c>
      <c r="B215" s="2" t="s">
        <v>14</v>
      </c>
      <c r="C215" s="3" t="s">
        <v>15</v>
      </c>
      <c r="D215" s="2" t="s">
        <v>34</v>
      </c>
      <c r="E215" s="2" t="str">
        <f t="shared" si="6"/>
        <v>#AppleDesign#Innovation</v>
      </c>
      <c r="F215" s="2" t="s">
        <v>29</v>
      </c>
      <c r="G215" s="2" t="s">
        <v>30</v>
      </c>
      <c r="H215" s="2" t="str">
        <f t="shared" si="7"/>
        <v>#AppleDesign</v>
      </c>
      <c r="I215" s="8">
        <v>18616</v>
      </c>
      <c r="J215" s="8">
        <v>1277</v>
      </c>
      <c r="K215" s="8">
        <v>734</v>
      </c>
      <c r="L215" s="8">
        <v>2249</v>
      </c>
      <c r="M215" s="9">
        <v>3399</v>
      </c>
      <c r="N215" s="2">
        <v>193515</v>
      </c>
      <c r="O215" s="2" t="s">
        <v>37</v>
      </c>
    </row>
    <row r="216" spans="1:15">
      <c r="A216" s="2" t="s">
        <v>384</v>
      </c>
      <c r="B216" s="2" t="s">
        <v>14</v>
      </c>
      <c r="C216" s="4">
        <v>45925</v>
      </c>
      <c r="D216" s="2" t="s">
        <v>34</v>
      </c>
      <c r="E216" s="2" t="str">
        <f t="shared" si="6"/>
        <v>#iPhonePhotography#ShotOniPhone</v>
      </c>
      <c r="F216" s="2" t="s">
        <v>77</v>
      </c>
      <c r="G216" s="2" t="s">
        <v>40</v>
      </c>
      <c r="H216" s="2" t="str">
        <f t="shared" si="7"/>
        <v>#iPhonePhotography</v>
      </c>
      <c r="I216" s="8">
        <v>8371</v>
      </c>
      <c r="J216" s="8">
        <v>960</v>
      </c>
      <c r="K216" s="8">
        <v>548</v>
      </c>
      <c r="L216" s="8">
        <v>2936</v>
      </c>
      <c r="M216" s="9">
        <v>82543</v>
      </c>
      <c r="N216" s="2">
        <v>119973</v>
      </c>
      <c r="O216" s="2" t="s">
        <v>24</v>
      </c>
    </row>
    <row r="217" spans="1:15">
      <c r="A217" s="2" t="s">
        <v>385</v>
      </c>
      <c r="B217" s="2" t="s">
        <v>26</v>
      </c>
      <c r="C217" s="3" t="s">
        <v>229</v>
      </c>
      <c r="D217" s="2" t="s">
        <v>28</v>
      </c>
      <c r="E217" s="2" t="str">
        <f t="shared" si="6"/>
        <v>#AppleWatchUltra2#HealthTech</v>
      </c>
      <c r="F217" s="2" t="s">
        <v>17</v>
      </c>
      <c r="G217" s="2" t="s">
        <v>18</v>
      </c>
      <c r="H217" s="2" t="str">
        <f t="shared" si="7"/>
        <v>#AppleWatchUltra2</v>
      </c>
      <c r="I217" s="8">
        <v>22590</v>
      </c>
      <c r="J217" s="8">
        <v>1462</v>
      </c>
      <c r="K217" s="8">
        <v>966</v>
      </c>
      <c r="L217" s="8">
        <v>2463</v>
      </c>
      <c r="M217" s="9">
        <v>29689</v>
      </c>
      <c r="N217" s="2">
        <v>103449</v>
      </c>
      <c r="O217" s="2" t="s">
        <v>31</v>
      </c>
    </row>
    <row r="218" spans="1:15">
      <c r="A218" s="2" t="s">
        <v>386</v>
      </c>
      <c r="B218" s="2" t="s">
        <v>21</v>
      </c>
      <c r="C218" s="4">
        <v>45926</v>
      </c>
      <c r="D218" s="2" t="s">
        <v>43</v>
      </c>
      <c r="E218" s="2" t="str">
        <f t="shared" si="6"/>
        <v>#AppleWatchUltra2#HealthTech</v>
      </c>
      <c r="F218" s="2" t="s">
        <v>17</v>
      </c>
      <c r="G218" s="2" t="s">
        <v>18</v>
      </c>
      <c r="H218" s="2" t="str">
        <f t="shared" si="7"/>
        <v>#AppleWatchUltra2</v>
      </c>
      <c r="I218" s="8">
        <v>16369</v>
      </c>
      <c r="J218" s="8">
        <v>1452</v>
      </c>
      <c r="K218" s="8">
        <v>493</v>
      </c>
      <c r="L218" s="8">
        <v>1217</v>
      </c>
      <c r="M218" s="9">
        <v>91440</v>
      </c>
      <c r="N218" s="2">
        <v>149834</v>
      </c>
      <c r="O218" s="2" t="s">
        <v>24</v>
      </c>
    </row>
    <row r="219" spans="1:15">
      <c r="A219" s="2" t="s">
        <v>387</v>
      </c>
      <c r="B219" s="2" t="s">
        <v>26</v>
      </c>
      <c r="C219" s="3" t="s">
        <v>388</v>
      </c>
      <c r="D219" s="2" t="s">
        <v>34</v>
      </c>
      <c r="E219" s="2" t="str">
        <f t="shared" si="6"/>
        <v>#MacBookProM3</v>
      </c>
      <c r="F219" s="2" t="s">
        <v>92</v>
      </c>
      <c r="G219" s="2"/>
      <c r="H219" s="2" t="str">
        <f t="shared" si="7"/>
        <v>#MacBookProM3</v>
      </c>
      <c r="I219" s="8">
        <v>14910</v>
      </c>
      <c r="J219" s="8">
        <v>778</v>
      </c>
      <c r="K219" s="8">
        <v>289</v>
      </c>
      <c r="L219" s="8">
        <v>2541</v>
      </c>
      <c r="M219" s="9">
        <v>14309</v>
      </c>
      <c r="N219" s="2">
        <v>247815</v>
      </c>
      <c r="O219" s="2" t="s">
        <v>31</v>
      </c>
    </row>
    <row r="220" spans="1:15">
      <c r="A220" s="2" t="s">
        <v>389</v>
      </c>
      <c r="B220" s="2" t="s">
        <v>21</v>
      </c>
      <c r="C220" s="3" t="s">
        <v>143</v>
      </c>
      <c r="D220" s="2" t="s">
        <v>43</v>
      </c>
      <c r="E220" s="2" t="str">
        <f t="shared" si="6"/>
        <v>#AppleMusic#AppleLifestyle</v>
      </c>
      <c r="F220" s="2" t="s">
        <v>44</v>
      </c>
      <c r="G220" s="2" t="s">
        <v>45</v>
      </c>
      <c r="H220" s="2" t="str">
        <f t="shared" si="7"/>
        <v>#AppleMusic</v>
      </c>
      <c r="I220" s="8">
        <v>9943</v>
      </c>
      <c r="J220" s="8">
        <v>1274</v>
      </c>
      <c r="K220" s="8">
        <v>336</v>
      </c>
      <c r="L220" s="8">
        <v>389</v>
      </c>
      <c r="M220" s="9">
        <v>6145</v>
      </c>
      <c r="N220" s="2">
        <v>231305</v>
      </c>
      <c r="O220" s="2" t="s">
        <v>19</v>
      </c>
    </row>
    <row r="221" spans="1:15">
      <c r="A221" s="2" t="s">
        <v>390</v>
      </c>
      <c r="B221" s="2" t="s">
        <v>14</v>
      </c>
      <c r="C221" s="3" t="s">
        <v>391</v>
      </c>
      <c r="D221" s="2" t="s">
        <v>34</v>
      </c>
      <c r="E221" s="2" t="str">
        <f t="shared" si="6"/>
        <v>#MacBookAirM3#AppleInnovation</v>
      </c>
      <c r="F221" s="2" t="s">
        <v>22</v>
      </c>
      <c r="G221" s="2" t="s">
        <v>23</v>
      </c>
      <c r="H221" s="2" t="str">
        <f t="shared" si="7"/>
        <v>#MacBookAirM3</v>
      </c>
      <c r="I221" s="8">
        <v>14199</v>
      </c>
      <c r="J221" s="8">
        <v>1206</v>
      </c>
      <c r="K221" s="8">
        <v>954</v>
      </c>
      <c r="L221" s="8">
        <v>2009</v>
      </c>
      <c r="M221" s="9">
        <v>8</v>
      </c>
      <c r="N221" s="2">
        <v>65537</v>
      </c>
      <c r="O221" s="2" t="s">
        <v>31</v>
      </c>
    </row>
    <row r="222" spans="1:15">
      <c r="A222" s="2" t="s">
        <v>392</v>
      </c>
      <c r="B222" s="2" t="s">
        <v>14</v>
      </c>
      <c r="C222" s="3" t="s">
        <v>218</v>
      </c>
      <c r="D222" s="2" t="s">
        <v>43</v>
      </c>
      <c r="E222" s="2" t="str">
        <f t="shared" si="6"/>
        <v>#AppleMusic#AppleLifestyle</v>
      </c>
      <c r="F222" s="2" t="s">
        <v>44</v>
      </c>
      <c r="G222" s="2" t="s">
        <v>45</v>
      </c>
      <c r="H222" s="2" t="str">
        <f t="shared" si="7"/>
        <v>#AppleMusic</v>
      </c>
      <c r="I222" s="8">
        <v>17728</v>
      </c>
      <c r="J222" s="8">
        <v>1487</v>
      </c>
      <c r="K222" s="8">
        <v>210</v>
      </c>
      <c r="L222" s="8">
        <v>2469</v>
      </c>
      <c r="M222" s="9">
        <v>30565</v>
      </c>
      <c r="N222" s="2">
        <v>117576</v>
      </c>
      <c r="O222" s="2" t="s">
        <v>19</v>
      </c>
    </row>
    <row r="223" spans="1:15">
      <c r="A223" s="2" t="s">
        <v>393</v>
      </c>
      <c r="B223" s="2" t="s">
        <v>14</v>
      </c>
      <c r="C223" s="3" t="s">
        <v>394</v>
      </c>
      <c r="D223" s="2" t="s">
        <v>28</v>
      </c>
      <c r="E223" s="2" t="str">
        <f t="shared" si="6"/>
        <v>#MacBookProM3</v>
      </c>
      <c r="F223" s="2" t="s">
        <v>92</v>
      </c>
      <c r="G223" s="2"/>
      <c r="H223" s="2" t="str">
        <f t="shared" si="7"/>
        <v>#MacBookProM3</v>
      </c>
      <c r="I223" s="8">
        <v>8738</v>
      </c>
      <c r="J223" s="8">
        <v>295</v>
      </c>
      <c r="K223" s="8">
        <v>529</v>
      </c>
      <c r="L223" s="8">
        <v>442</v>
      </c>
      <c r="M223" s="9">
        <v>25286</v>
      </c>
      <c r="N223" s="2">
        <v>147522</v>
      </c>
      <c r="O223" s="2" t="s">
        <v>37</v>
      </c>
    </row>
    <row r="224" spans="1:15">
      <c r="A224" s="2" t="s">
        <v>395</v>
      </c>
      <c r="B224" s="2" t="s">
        <v>53</v>
      </c>
      <c r="C224" s="3" t="s">
        <v>317</v>
      </c>
      <c r="D224" s="2" t="s">
        <v>34</v>
      </c>
      <c r="E224" s="2" t="str">
        <f t="shared" si="6"/>
        <v>#AppleDesign#Innovation</v>
      </c>
      <c r="F224" s="2" t="s">
        <v>29</v>
      </c>
      <c r="G224" s="2" t="s">
        <v>30</v>
      </c>
      <c r="H224" s="2" t="str">
        <f t="shared" si="7"/>
        <v>#AppleDesign</v>
      </c>
      <c r="I224" s="8">
        <v>17913</v>
      </c>
      <c r="J224" s="8">
        <v>1311</v>
      </c>
      <c r="K224" s="8">
        <v>859</v>
      </c>
      <c r="L224" s="8">
        <v>405</v>
      </c>
      <c r="M224" s="9">
        <v>59842</v>
      </c>
      <c r="N224" s="2">
        <v>62612</v>
      </c>
      <c r="O224" s="2" t="s">
        <v>31</v>
      </c>
    </row>
    <row r="225" spans="1:15">
      <c r="A225" s="2" t="s">
        <v>396</v>
      </c>
      <c r="B225" s="2" t="s">
        <v>21</v>
      </c>
      <c r="C225" s="4">
        <v>45907</v>
      </c>
      <c r="D225" s="2" t="s">
        <v>28</v>
      </c>
      <c r="E225" s="2" t="str">
        <f t="shared" si="6"/>
        <v>#Sustainability#AppleEarth</v>
      </c>
      <c r="F225" s="2" t="s">
        <v>176</v>
      </c>
      <c r="G225" s="2" t="s">
        <v>177</v>
      </c>
      <c r="H225" s="2" t="str">
        <f t="shared" si="7"/>
        <v>#Sustainability</v>
      </c>
      <c r="I225" s="8">
        <v>4472</v>
      </c>
      <c r="J225" s="8">
        <v>1301</v>
      </c>
      <c r="K225" s="8">
        <v>956</v>
      </c>
      <c r="L225" s="8">
        <v>1186</v>
      </c>
      <c r="M225" s="9">
        <v>3363</v>
      </c>
      <c r="N225" s="2">
        <v>46471</v>
      </c>
      <c r="O225" s="2" t="s">
        <v>24</v>
      </c>
    </row>
    <row r="226" spans="1:15">
      <c r="A226" s="2" t="s">
        <v>397</v>
      </c>
      <c r="B226" s="2" t="s">
        <v>53</v>
      </c>
      <c r="C226" s="3" t="s">
        <v>398</v>
      </c>
      <c r="D226" s="2" t="s">
        <v>34</v>
      </c>
      <c r="E226" s="2" t="str">
        <f t="shared" si="6"/>
        <v>#AppleWatch#Health</v>
      </c>
      <c r="F226" s="2" t="s">
        <v>48</v>
      </c>
      <c r="G226" s="2" t="s">
        <v>49</v>
      </c>
      <c r="H226" s="2" t="str">
        <f t="shared" si="7"/>
        <v>#AppleWatch</v>
      </c>
      <c r="I226" s="8">
        <v>21123</v>
      </c>
      <c r="J226" s="8">
        <v>1343</v>
      </c>
      <c r="K226" s="8">
        <v>589</v>
      </c>
      <c r="L226" s="8">
        <v>727</v>
      </c>
      <c r="M226" s="9">
        <v>87833</v>
      </c>
      <c r="N226" s="2">
        <v>206703</v>
      </c>
      <c r="O226" s="2" t="s">
        <v>19</v>
      </c>
    </row>
    <row r="227" spans="1:15">
      <c r="A227" s="2" t="s">
        <v>399</v>
      </c>
      <c r="B227" s="2" t="s">
        <v>53</v>
      </c>
      <c r="C227" s="4">
        <v>45908</v>
      </c>
      <c r="D227" s="2" t="s">
        <v>28</v>
      </c>
      <c r="E227" s="2" t="str">
        <f t="shared" si="6"/>
        <v>#AppleWatch#Health</v>
      </c>
      <c r="F227" s="2" t="s">
        <v>48</v>
      </c>
      <c r="G227" s="2" t="s">
        <v>49</v>
      </c>
      <c r="H227" s="2" t="str">
        <f t="shared" si="7"/>
        <v>#AppleWatch</v>
      </c>
      <c r="I227" s="8">
        <v>23785</v>
      </c>
      <c r="J227" s="8">
        <v>1013</v>
      </c>
      <c r="K227" s="8">
        <v>468</v>
      </c>
      <c r="L227" s="8">
        <v>1628</v>
      </c>
      <c r="M227" s="9">
        <v>8272</v>
      </c>
      <c r="N227" s="2">
        <v>71348</v>
      </c>
      <c r="O227" s="2" t="s">
        <v>24</v>
      </c>
    </row>
    <row r="228" spans="1:15">
      <c r="A228" s="2" t="s">
        <v>400</v>
      </c>
      <c r="B228" s="2" t="s">
        <v>26</v>
      </c>
      <c r="C228" s="3" t="s">
        <v>401</v>
      </c>
      <c r="D228" s="2" t="s">
        <v>28</v>
      </c>
      <c r="E228" s="2" t="str">
        <f t="shared" si="6"/>
        <v>#MacBookAirM3#AppleInnovation</v>
      </c>
      <c r="F228" s="2" t="s">
        <v>22</v>
      </c>
      <c r="G228" s="2" t="s">
        <v>23</v>
      </c>
      <c r="H228" s="2" t="str">
        <f t="shared" si="7"/>
        <v>#MacBookAirM3</v>
      </c>
      <c r="I228" s="8">
        <v>17679</v>
      </c>
      <c r="J228" s="8">
        <v>690</v>
      </c>
      <c r="K228" s="8">
        <v>451</v>
      </c>
      <c r="L228" s="8">
        <v>2195</v>
      </c>
      <c r="M228" s="9">
        <v>4390</v>
      </c>
      <c r="N228" s="2">
        <v>235804</v>
      </c>
      <c r="O228" s="2" t="s">
        <v>62</v>
      </c>
    </row>
    <row r="229" spans="1:15">
      <c r="A229" s="2" t="s">
        <v>402</v>
      </c>
      <c r="B229" s="2" t="s">
        <v>53</v>
      </c>
      <c r="C229" s="3" t="s">
        <v>403</v>
      </c>
      <c r="D229" s="2" t="s">
        <v>34</v>
      </c>
      <c r="E229" s="2" t="str">
        <f t="shared" si="6"/>
        <v>#AppleDesign#Innovation</v>
      </c>
      <c r="F229" s="2" t="s">
        <v>29</v>
      </c>
      <c r="G229" s="2" t="s">
        <v>30</v>
      </c>
      <c r="H229" s="2" t="str">
        <f t="shared" si="7"/>
        <v>#AppleDesign</v>
      </c>
      <c r="I229" s="8">
        <v>3761</v>
      </c>
      <c r="J229" s="8">
        <v>651</v>
      </c>
      <c r="K229" s="8">
        <v>493</v>
      </c>
      <c r="L229" s="8">
        <v>2294</v>
      </c>
      <c r="M229" s="9">
        <v>71696</v>
      </c>
      <c r="N229" s="2">
        <v>41177</v>
      </c>
      <c r="O229" s="2" t="s">
        <v>19</v>
      </c>
    </row>
    <row r="230" spans="1:15">
      <c r="A230" s="2" t="s">
        <v>404</v>
      </c>
      <c r="B230" s="2" t="s">
        <v>26</v>
      </c>
      <c r="C230" s="3" t="s">
        <v>125</v>
      </c>
      <c r="D230" s="2" t="s">
        <v>34</v>
      </c>
      <c r="E230" s="2" t="str">
        <f t="shared" si="6"/>
        <v>#MacBookAirM3#AppleInnovation</v>
      </c>
      <c r="F230" s="2" t="s">
        <v>22</v>
      </c>
      <c r="G230" s="2" t="s">
        <v>23</v>
      </c>
      <c r="H230" s="2" t="str">
        <f t="shared" si="7"/>
        <v>#MacBookAirM3</v>
      </c>
      <c r="I230" s="8">
        <v>12167</v>
      </c>
      <c r="J230" s="8">
        <v>364</v>
      </c>
      <c r="K230" s="8">
        <v>160</v>
      </c>
      <c r="L230" s="8">
        <v>616</v>
      </c>
      <c r="M230" s="9">
        <v>42228</v>
      </c>
      <c r="N230" s="2">
        <v>175832</v>
      </c>
      <c r="O230" s="2" t="s">
        <v>31</v>
      </c>
    </row>
    <row r="231" spans="1:15">
      <c r="A231" s="2" t="s">
        <v>405</v>
      </c>
      <c r="B231" s="2" t="s">
        <v>26</v>
      </c>
      <c r="C231" s="3" t="s">
        <v>274</v>
      </c>
      <c r="D231" s="2" t="s">
        <v>34</v>
      </c>
      <c r="E231" s="2" t="str">
        <f t="shared" si="6"/>
        <v>#ShotOniPhone</v>
      </c>
      <c r="F231" s="2" t="s">
        <v>40</v>
      </c>
      <c r="G231" s="2"/>
      <c r="H231" s="2" t="str">
        <f t="shared" si="7"/>
        <v>#ShotOniPhone</v>
      </c>
      <c r="I231" s="8">
        <v>12554</v>
      </c>
      <c r="J231" s="8">
        <v>381</v>
      </c>
      <c r="K231" s="8">
        <v>211</v>
      </c>
      <c r="L231" s="8">
        <v>2286</v>
      </c>
      <c r="M231" s="9">
        <v>50567</v>
      </c>
      <c r="N231" s="2">
        <v>72779</v>
      </c>
      <c r="O231" s="2" t="s">
        <v>19</v>
      </c>
    </row>
    <row r="232" spans="1:15">
      <c r="A232" s="2" t="s">
        <v>406</v>
      </c>
      <c r="B232" s="2" t="s">
        <v>53</v>
      </c>
      <c r="C232" s="4">
        <v>45909</v>
      </c>
      <c r="D232" s="2" t="s">
        <v>16</v>
      </c>
      <c r="E232" s="2" t="str">
        <f t="shared" si="6"/>
        <v>#AppleMusic#AppleLifestyle</v>
      </c>
      <c r="F232" s="2" t="s">
        <v>44</v>
      </c>
      <c r="G232" s="2" t="s">
        <v>45</v>
      </c>
      <c r="H232" s="2" t="str">
        <f t="shared" si="7"/>
        <v>#AppleMusic</v>
      </c>
      <c r="I232" s="8">
        <v>19260</v>
      </c>
      <c r="J232" s="8">
        <v>668</v>
      </c>
      <c r="K232" s="8">
        <v>994</v>
      </c>
      <c r="L232" s="8">
        <v>934</v>
      </c>
      <c r="M232" s="9">
        <v>20509</v>
      </c>
      <c r="N232" s="2">
        <v>61636</v>
      </c>
      <c r="O232" s="2" t="s">
        <v>24</v>
      </c>
    </row>
    <row r="233" spans="1:15">
      <c r="A233" s="2" t="s">
        <v>407</v>
      </c>
      <c r="B233" s="2" t="s">
        <v>21</v>
      </c>
      <c r="C233" s="3" t="s">
        <v>408</v>
      </c>
      <c r="D233" s="2" t="s">
        <v>43</v>
      </c>
      <c r="E233" s="2" t="str">
        <f t="shared" si="6"/>
        <v>#AppleWatch#Health</v>
      </c>
      <c r="F233" s="2" t="s">
        <v>48</v>
      </c>
      <c r="G233" s="2" t="s">
        <v>49</v>
      </c>
      <c r="H233" s="2" t="str">
        <f t="shared" si="7"/>
        <v>#AppleWatch</v>
      </c>
      <c r="I233" s="8">
        <v>16277</v>
      </c>
      <c r="J233" s="8">
        <v>1109</v>
      </c>
      <c r="K233" s="8">
        <v>375</v>
      </c>
      <c r="L233" s="8">
        <v>2225</v>
      </c>
      <c r="M233" s="9">
        <v>1044</v>
      </c>
      <c r="N233" s="2">
        <v>121889</v>
      </c>
      <c r="O233" s="2" t="s">
        <v>37</v>
      </c>
    </row>
    <row r="234" spans="1:15">
      <c r="A234" s="2" t="s">
        <v>409</v>
      </c>
      <c r="B234" s="2" t="s">
        <v>21</v>
      </c>
      <c r="C234" s="3" t="s">
        <v>159</v>
      </c>
      <c r="D234" s="2" t="s">
        <v>16</v>
      </c>
      <c r="E234" s="2" t="str">
        <f t="shared" si="6"/>
        <v>#AppleWatchUltra2#HealthTech</v>
      </c>
      <c r="F234" s="2" t="s">
        <v>17</v>
      </c>
      <c r="G234" s="2" t="s">
        <v>18</v>
      </c>
      <c r="H234" s="2" t="str">
        <f t="shared" si="7"/>
        <v>#AppleWatchUltra2</v>
      </c>
      <c r="I234" s="8">
        <v>5812</v>
      </c>
      <c r="J234" s="8">
        <v>934</v>
      </c>
      <c r="K234" s="8">
        <v>302</v>
      </c>
      <c r="L234" s="8">
        <v>2356</v>
      </c>
      <c r="M234" s="9">
        <v>37437</v>
      </c>
      <c r="N234" s="2">
        <v>93551</v>
      </c>
      <c r="O234" s="2" t="s">
        <v>19</v>
      </c>
    </row>
    <row r="235" spans="1:15">
      <c r="A235" s="2" t="s">
        <v>410</v>
      </c>
      <c r="B235" s="2" t="s">
        <v>21</v>
      </c>
      <c r="C235" s="3" t="s">
        <v>411</v>
      </c>
      <c r="D235" s="2" t="s">
        <v>16</v>
      </c>
      <c r="E235" s="2" t="str">
        <f t="shared" si="6"/>
        <v>#AppleMusic#AppleLifestyle</v>
      </c>
      <c r="F235" s="2" t="s">
        <v>44</v>
      </c>
      <c r="G235" s="2" t="s">
        <v>45</v>
      </c>
      <c r="H235" s="2" t="str">
        <f t="shared" si="7"/>
        <v>#AppleMusic</v>
      </c>
      <c r="I235" s="8">
        <v>19844</v>
      </c>
      <c r="J235" s="8">
        <v>1022</v>
      </c>
      <c r="K235" s="8">
        <v>860</v>
      </c>
      <c r="L235" s="8">
        <v>2570</v>
      </c>
      <c r="M235" s="9">
        <v>23719</v>
      </c>
      <c r="N235" s="2">
        <v>182628</v>
      </c>
      <c r="O235" s="2" t="s">
        <v>31</v>
      </c>
    </row>
    <row r="236" spans="1:15">
      <c r="A236" s="2" t="s">
        <v>412</v>
      </c>
      <c r="B236" s="2" t="s">
        <v>21</v>
      </c>
      <c r="C236" s="3" t="s">
        <v>345</v>
      </c>
      <c r="D236" s="2" t="s">
        <v>28</v>
      </c>
      <c r="E236" s="2" t="str">
        <f t="shared" si="6"/>
        <v>#AppleEvent#iPadPro</v>
      </c>
      <c r="F236" s="2" t="s">
        <v>35</v>
      </c>
      <c r="G236" s="2" t="s">
        <v>36</v>
      </c>
      <c r="H236" s="2" t="str">
        <f t="shared" si="7"/>
        <v>#AppleEvent</v>
      </c>
      <c r="I236" s="8">
        <v>20117</v>
      </c>
      <c r="J236" s="8">
        <v>1143</v>
      </c>
      <c r="K236" s="8">
        <v>713</v>
      </c>
      <c r="L236" s="8">
        <v>1739</v>
      </c>
      <c r="M236" s="9">
        <v>34444</v>
      </c>
      <c r="N236" s="2">
        <v>198670</v>
      </c>
      <c r="O236" s="2" t="s">
        <v>62</v>
      </c>
    </row>
    <row r="237" spans="1:15">
      <c r="A237" s="2" t="s">
        <v>413</v>
      </c>
      <c r="B237" s="2" t="s">
        <v>21</v>
      </c>
      <c r="C237" s="3" t="s">
        <v>71</v>
      </c>
      <c r="D237" s="2" t="s">
        <v>34</v>
      </c>
      <c r="E237" s="2" t="str">
        <f t="shared" si="6"/>
        <v>#iPhonePhotography#ShotOniPhone</v>
      </c>
      <c r="F237" s="2" t="s">
        <v>77</v>
      </c>
      <c r="G237" s="2" t="s">
        <v>40</v>
      </c>
      <c r="H237" s="2" t="str">
        <f t="shared" si="7"/>
        <v>#iPhonePhotography</v>
      </c>
      <c r="I237" s="8">
        <v>3605</v>
      </c>
      <c r="J237" s="8">
        <v>206</v>
      </c>
      <c r="K237" s="8">
        <v>921</v>
      </c>
      <c r="L237" s="8">
        <v>852</v>
      </c>
      <c r="M237" s="9">
        <v>11660</v>
      </c>
      <c r="N237" s="2">
        <v>182635</v>
      </c>
      <c r="O237" s="2" t="s">
        <v>37</v>
      </c>
    </row>
    <row r="238" spans="1:15">
      <c r="A238" s="2" t="s">
        <v>414</v>
      </c>
      <c r="B238" s="2" t="s">
        <v>53</v>
      </c>
      <c r="C238" s="3" t="s">
        <v>298</v>
      </c>
      <c r="D238" s="2" t="s">
        <v>43</v>
      </c>
      <c r="E238" s="2" t="str">
        <f t="shared" si="6"/>
        <v>#AppleDesign#Innovation</v>
      </c>
      <c r="F238" s="2" t="s">
        <v>29</v>
      </c>
      <c r="G238" s="2" t="s">
        <v>30</v>
      </c>
      <c r="H238" s="2" t="str">
        <f t="shared" si="7"/>
        <v>#AppleDesign</v>
      </c>
      <c r="I238" s="8">
        <v>7622</v>
      </c>
      <c r="J238" s="8">
        <v>529</v>
      </c>
      <c r="K238" s="8">
        <v>720</v>
      </c>
      <c r="L238" s="8">
        <v>1015</v>
      </c>
      <c r="M238" s="9">
        <v>71322</v>
      </c>
      <c r="N238" s="2">
        <v>86819</v>
      </c>
      <c r="O238" s="2" t="s">
        <v>62</v>
      </c>
    </row>
    <row r="239" spans="1:15">
      <c r="A239" s="2" t="s">
        <v>415</v>
      </c>
      <c r="B239" s="2" t="s">
        <v>53</v>
      </c>
      <c r="C239" s="3" t="s">
        <v>416</v>
      </c>
      <c r="D239" s="2" t="s">
        <v>28</v>
      </c>
      <c r="E239" s="2" t="str">
        <f t="shared" si="6"/>
        <v>#iPhone16Launch#AppleEvent</v>
      </c>
      <c r="F239" s="2" t="s">
        <v>55</v>
      </c>
      <c r="G239" s="2" t="s">
        <v>35</v>
      </c>
      <c r="H239" s="2" t="str">
        <f t="shared" si="7"/>
        <v>#iPhone16Launch</v>
      </c>
      <c r="I239" s="8">
        <v>8767</v>
      </c>
      <c r="J239" s="8">
        <v>974</v>
      </c>
      <c r="K239" s="8">
        <v>733</v>
      </c>
      <c r="L239" s="8">
        <v>1587</v>
      </c>
      <c r="M239" s="9">
        <v>74927</v>
      </c>
      <c r="N239" s="2">
        <v>113770</v>
      </c>
      <c r="O239" s="2" t="s">
        <v>19</v>
      </c>
    </row>
    <row r="240" spans="1:15">
      <c r="A240" s="2" t="s">
        <v>417</v>
      </c>
      <c r="B240" s="2" t="s">
        <v>14</v>
      </c>
      <c r="C240" s="4">
        <v>45910</v>
      </c>
      <c r="D240" s="2" t="s">
        <v>16</v>
      </c>
      <c r="E240" s="2" t="str">
        <f t="shared" si="6"/>
        <v>#MacBookAirM3#AppleInnovation</v>
      </c>
      <c r="F240" s="2" t="s">
        <v>22</v>
      </c>
      <c r="G240" s="2" t="s">
        <v>23</v>
      </c>
      <c r="H240" s="2" t="str">
        <f t="shared" si="7"/>
        <v>#MacBookAirM3</v>
      </c>
      <c r="I240" s="8">
        <v>13613</v>
      </c>
      <c r="J240" s="8">
        <v>350</v>
      </c>
      <c r="K240" s="8">
        <v>809</v>
      </c>
      <c r="L240" s="8">
        <v>2013</v>
      </c>
      <c r="M240" s="9">
        <v>20471</v>
      </c>
      <c r="N240" s="2">
        <v>198038</v>
      </c>
      <c r="O240" s="2" t="s">
        <v>24</v>
      </c>
    </row>
    <row r="241" spans="1:15">
      <c r="A241" s="2" t="s">
        <v>418</v>
      </c>
      <c r="B241" s="2" t="s">
        <v>21</v>
      </c>
      <c r="C241" s="4">
        <v>45911</v>
      </c>
      <c r="D241" s="2" t="s">
        <v>34</v>
      </c>
      <c r="E241" s="2" t="str">
        <f t="shared" si="6"/>
        <v>#AppleMusic#AppleLifestyle</v>
      </c>
      <c r="F241" s="2" t="s">
        <v>44</v>
      </c>
      <c r="G241" s="2" t="s">
        <v>45</v>
      </c>
      <c r="H241" s="2" t="str">
        <f t="shared" si="7"/>
        <v>#AppleMusic</v>
      </c>
      <c r="I241" s="8">
        <v>21901</v>
      </c>
      <c r="J241" s="8">
        <v>1308</v>
      </c>
      <c r="K241" s="8">
        <v>724</v>
      </c>
      <c r="L241" s="8">
        <v>2183</v>
      </c>
      <c r="M241" s="9">
        <v>15996</v>
      </c>
      <c r="N241" s="2">
        <v>230961</v>
      </c>
      <c r="O241" s="2" t="s">
        <v>24</v>
      </c>
    </row>
    <row r="242" spans="1:15">
      <c r="A242" s="2" t="s">
        <v>419</v>
      </c>
      <c r="B242" s="2" t="s">
        <v>53</v>
      </c>
      <c r="C242" s="3" t="s">
        <v>420</v>
      </c>
      <c r="D242" s="2" t="s">
        <v>28</v>
      </c>
      <c r="E242" s="2" t="str">
        <f t="shared" si="6"/>
        <v>#iPhonePhotography#ShotOniPhone</v>
      </c>
      <c r="F242" s="2" t="s">
        <v>77</v>
      </c>
      <c r="G242" s="2" t="s">
        <v>40</v>
      </c>
      <c r="H242" s="2" t="str">
        <f t="shared" si="7"/>
        <v>#iPhonePhotography</v>
      </c>
      <c r="I242" s="8">
        <v>12589</v>
      </c>
      <c r="J242" s="8">
        <v>346</v>
      </c>
      <c r="K242" s="8">
        <v>459</v>
      </c>
      <c r="L242" s="8">
        <v>1407</v>
      </c>
      <c r="M242" s="9">
        <v>29254</v>
      </c>
      <c r="N242" s="2">
        <v>198059</v>
      </c>
      <c r="O242" s="2" t="s">
        <v>31</v>
      </c>
    </row>
    <row r="243" spans="1:15">
      <c r="A243" s="2" t="s">
        <v>421</v>
      </c>
      <c r="B243" s="2" t="s">
        <v>14</v>
      </c>
      <c r="C243" s="4">
        <v>45912</v>
      </c>
      <c r="D243" s="2" t="s">
        <v>34</v>
      </c>
      <c r="E243" s="2" t="str">
        <f t="shared" si="6"/>
        <v>#AppleMusic#AppleLifestyle</v>
      </c>
      <c r="F243" s="2" t="s">
        <v>44</v>
      </c>
      <c r="G243" s="2" t="s">
        <v>45</v>
      </c>
      <c r="H243" s="2" t="str">
        <f t="shared" si="7"/>
        <v>#AppleMusic</v>
      </c>
      <c r="I243" s="8">
        <v>15918</v>
      </c>
      <c r="J243" s="8">
        <v>1114</v>
      </c>
      <c r="K243" s="8">
        <v>392</v>
      </c>
      <c r="L243" s="8">
        <v>1641</v>
      </c>
      <c r="M243" s="9">
        <v>28044</v>
      </c>
      <c r="N243" s="2">
        <v>118714</v>
      </c>
      <c r="O243" s="2" t="s">
        <v>24</v>
      </c>
    </row>
    <row r="244" spans="1:15">
      <c r="A244" s="2" t="s">
        <v>422</v>
      </c>
      <c r="B244" s="2" t="s">
        <v>21</v>
      </c>
      <c r="C244" s="3" t="s">
        <v>423</v>
      </c>
      <c r="D244" s="2" t="s">
        <v>28</v>
      </c>
      <c r="E244" s="2" t="str">
        <f t="shared" si="6"/>
        <v>#iPhone16Launch#AppleEvent</v>
      </c>
      <c r="F244" s="2" t="s">
        <v>55</v>
      </c>
      <c r="G244" s="2" t="s">
        <v>35</v>
      </c>
      <c r="H244" s="2" t="str">
        <f t="shared" si="7"/>
        <v>#iPhone16Launch</v>
      </c>
      <c r="I244" s="8">
        <v>22119</v>
      </c>
      <c r="J244" s="8">
        <v>899</v>
      </c>
      <c r="K244" s="8">
        <v>642</v>
      </c>
      <c r="L244" s="8">
        <v>410</v>
      </c>
      <c r="M244" s="9">
        <v>49490</v>
      </c>
      <c r="N244" s="2">
        <v>229420</v>
      </c>
      <c r="O244" s="2" t="s">
        <v>37</v>
      </c>
    </row>
    <row r="245" spans="1:15">
      <c r="A245" s="2" t="s">
        <v>424</v>
      </c>
      <c r="B245" s="2" t="s">
        <v>26</v>
      </c>
      <c r="C245" s="4">
        <v>45913</v>
      </c>
      <c r="D245" s="2" t="s">
        <v>34</v>
      </c>
      <c r="E245" s="2" t="str">
        <f t="shared" si="6"/>
        <v>#iPhonePhotography#ShotOniPhone</v>
      </c>
      <c r="F245" s="2" t="s">
        <v>77</v>
      </c>
      <c r="G245" s="2" t="s">
        <v>40</v>
      </c>
      <c r="H245" s="2" t="str">
        <f t="shared" si="7"/>
        <v>#iPhonePhotography</v>
      </c>
      <c r="I245" s="8">
        <v>15046</v>
      </c>
      <c r="J245" s="8">
        <v>281</v>
      </c>
      <c r="K245" s="8">
        <v>515</v>
      </c>
      <c r="L245" s="8">
        <v>550</v>
      </c>
      <c r="M245" s="9">
        <v>22583</v>
      </c>
      <c r="N245" s="2">
        <v>64596</v>
      </c>
      <c r="O245" s="2" t="s">
        <v>24</v>
      </c>
    </row>
    <row r="246" spans="1:15">
      <c r="A246" s="2" t="s">
        <v>425</v>
      </c>
      <c r="B246" s="2" t="s">
        <v>14</v>
      </c>
      <c r="C246" s="3" t="s">
        <v>426</v>
      </c>
      <c r="D246" s="2" t="s">
        <v>16</v>
      </c>
      <c r="E246" s="2" t="str">
        <f t="shared" si="6"/>
        <v>#AppleEvent#iPadPro</v>
      </c>
      <c r="F246" s="2" t="s">
        <v>35</v>
      </c>
      <c r="G246" s="2" t="s">
        <v>36</v>
      </c>
      <c r="H246" s="2" t="str">
        <f t="shared" si="7"/>
        <v>#AppleEvent</v>
      </c>
      <c r="I246" s="8">
        <v>4590</v>
      </c>
      <c r="J246" s="8">
        <v>713</v>
      </c>
      <c r="K246" s="8">
        <v>479</v>
      </c>
      <c r="L246" s="8">
        <v>2730</v>
      </c>
      <c r="M246" s="9">
        <v>41050</v>
      </c>
      <c r="N246" s="2">
        <v>204246</v>
      </c>
      <c r="O246" s="2" t="s">
        <v>31</v>
      </c>
    </row>
    <row r="247" spans="1:15">
      <c r="A247" s="2" t="s">
        <v>427</v>
      </c>
      <c r="B247" s="2" t="s">
        <v>53</v>
      </c>
      <c r="C247" s="3" t="s">
        <v>428</v>
      </c>
      <c r="D247" s="2" t="s">
        <v>43</v>
      </c>
      <c r="E247" s="2" t="str">
        <f t="shared" si="6"/>
        <v>#iPhone16Launch#AppleEvent</v>
      </c>
      <c r="F247" s="2" t="s">
        <v>55</v>
      </c>
      <c r="G247" s="2" t="s">
        <v>35</v>
      </c>
      <c r="H247" s="2" t="str">
        <f t="shared" si="7"/>
        <v>#iPhone16Launch</v>
      </c>
      <c r="I247" s="8">
        <v>19447</v>
      </c>
      <c r="J247" s="8">
        <v>1014</v>
      </c>
      <c r="K247" s="8">
        <v>256</v>
      </c>
      <c r="L247" s="8">
        <v>2354</v>
      </c>
      <c r="M247" s="9">
        <v>5472</v>
      </c>
      <c r="N247" s="2">
        <v>104106</v>
      </c>
      <c r="O247" s="2" t="s">
        <v>19</v>
      </c>
    </row>
    <row r="248" spans="1:15">
      <c r="A248" s="2" t="s">
        <v>429</v>
      </c>
      <c r="B248" s="2" t="s">
        <v>26</v>
      </c>
      <c r="C248" s="3" t="s">
        <v>430</v>
      </c>
      <c r="D248" s="2" t="s">
        <v>16</v>
      </c>
      <c r="E248" s="2" t="str">
        <f t="shared" si="6"/>
        <v>#MacBookProM3</v>
      </c>
      <c r="F248" s="2" t="s">
        <v>92</v>
      </c>
      <c r="G248" s="2"/>
      <c r="H248" s="2" t="str">
        <f t="shared" si="7"/>
        <v>#MacBookProM3</v>
      </c>
      <c r="I248" s="8">
        <v>6324</v>
      </c>
      <c r="J248" s="8">
        <v>908</v>
      </c>
      <c r="K248" s="8">
        <v>375</v>
      </c>
      <c r="L248" s="8">
        <v>758</v>
      </c>
      <c r="M248" s="9">
        <v>34850</v>
      </c>
      <c r="N248" s="2">
        <v>241039</v>
      </c>
      <c r="O248" s="2" t="s">
        <v>19</v>
      </c>
    </row>
    <row r="249" spans="1:15">
      <c r="A249" s="2" t="s">
        <v>431</v>
      </c>
      <c r="B249" s="2" t="s">
        <v>26</v>
      </c>
      <c r="C249" s="4">
        <v>45914</v>
      </c>
      <c r="D249" s="2" t="s">
        <v>43</v>
      </c>
      <c r="E249" s="2" t="str">
        <f t="shared" si="6"/>
        <v>#AppleEvent#iPhone16</v>
      </c>
      <c r="F249" s="2" t="s">
        <v>35</v>
      </c>
      <c r="G249" s="2" t="s">
        <v>69</v>
      </c>
      <c r="H249" s="2" t="str">
        <f t="shared" si="7"/>
        <v>#AppleEvent</v>
      </c>
      <c r="I249" s="8">
        <v>12787</v>
      </c>
      <c r="J249" s="8">
        <v>945</v>
      </c>
      <c r="K249" s="8">
        <v>974</v>
      </c>
      <c r="L249" s="8">
        <v>1407</v>
      </c>
      <c r="M249" s="9">
        <v>4037</v>
      </c>
      <c r="N249" s="2">
        <v>99182</v>
      </c>
      <c r="O249" s="2" t="s">
        <v>24</v>
      </c>
    </row>
    <row r="250" spans="1:15">
      <c r="A250" s="2" t="s">
        <v>432</v>
      </c>
      <c r="B250" s="2" t="s">
        <v>26</v>
      </c>
      <c r="C250" s="3" t="s">
        <v>433</v>
      </c>
      <c r="D250" s="2" t="s">
        <v>34</v>
      </c>
      <c r="E250" s="2" t="str">
        <f t="shared" si="6"/>
        <v>#MacBookProM3</v>
      </c>
      <c r="F250" s="2" t="s">
        <v>92</v>
      </c>
      <c r="G250" s="2"/>
      <c r="H250" s="2" t="str">
        <f t="shared" si="7"/>
        <v>#MacBookProM3</v>
      </c>
      <c r="I250" s="8">
        <v>11111</v>
      </c>
      <c r="J250" s="8">
        <v>1222</v>
      </c>
      <c r="K250" s="8">
        <v>367</v>
      </c>
      <c r="L250" s="8">
        <v>507</v>
      </c>
      <c r="M250" s="9">
        <v>14129</v>
      </c>
      <c r="N250" s="2">
        <v>127163</v>
      </c>
      <c r="O250" s="2" t="s">
        <v>62</v>
      </c>
    </row>
    <row r="251" spans="1:15">
      <c r="A251" s="2" t="s">
        <v>434</v>
      </c>
      <c r="B251" s="2" t="s">
        <v>14</v>
      </c>
      <c r="C251" s="3" t="s">
        <v>141</v>
      </c>
      <c r="D251" s="2" t="s">
        <v>28</v>
      </c>
      <c r="E251" s="2" t="str">
        <f t="shared" si="6"/>
        <v>#AppleWatch#Health</v>
      </c>
      <c r="F251" s="2" t="s">
        <v>48</v>
      </c>
      <c r="G251" s="2" t="s">
        <v>49</v>
      </c>
      <c r="H251" s="2" t="str">
        <f t="shared" si="7"/>
        <v>#AppleWatch</v>
      </c>
      <c r="I251" s="8">
        <v>7342</v>
      </c>
      <c r="J251" s="8">
        <v>906</v>
      </c>
      <c r="K251" s="8">
        <v>902</v>
      </c>
      <c r="L251" s="8">
        <v>1199</v>
      </c>
      <c r="M251" s="9">
        <v>68488</v>
      </c>
      <c r="N251" s="2">
        <v>79310</v>
      </c>
      <c r="O251" s="2" t="s">
        <v>19</v>
      </c>
    </row>
    <row r="252" spans="1:15">
      <c r="A252" s="2" t="s">
        <v>435</v>
      </c>
      <c r="B252" s="2" t="s">
        <v>53</v>
      </c>
      <c r="C252" s="4">
        <v>45915</v>
      </c>
      <c r="D252" s="2" t="s">
        <v>16</v>
      </c>
      <c r="E252" s="2" t="str">
        <f t="shared" si="6"/>
        <v>#AppleMusic#AppleLifestyle</v>
      </c>
      <c r="F252" s="2" t="s">
        <v>44</v>
      </c>
      <c r="G252" s="2" t="s">
        <v>45</v>
      </c>
      <c r="H252" s="2" t="str">
        <f t="shared" si="7"/>
        <v>#AppleMusic</v>
      </c>
      <c r="I252" s="8">
        <v>18389</v>
      </c>
      <c r="J252" s="8">
        <v>670</v>
      </c>
      <c r="K252" s="8">
        <v>655</v>
      </c>
      <c r="L252" s="8">
        <v>321</v>
      </c>
      <c r="M252" s="9">
        <v>21869</v>
      </c>
      <c r="N252" s="2">
        <v>96088</v>
      </c>
      <c r="O252" s="2" t="s">
        <v>24</v>
      </c>
    </row>
    <row r="253" spans="1:15">
      <c r="A253" s="2" t="s">
        <v>436</v>
      </c>
      <c r="B253" s="2" t="s">
        <v>26</v>
      </c>
      <c r="C253" s="3" t="s">
        <v>321</v>
      </c>
      <c r="D253" s="2" t="s">
        <v>43</v>
      </c>
      <c r="E253" s="2" t="str">
        <f t="shared" si="6"/>
        <v>#AppleEvent#iPhone16</v>
      </c>
      <c r="F253" s="2" t="s">
        <v>35</v>
      </c>
      <c r="G253" s="2" t="s">
        <v>69</v>
      </c>
      <c r="H253" s="2" t="str">
        <f t="shared" si="7"/>
        <v>#AppleEvent</v>
      </c>
      <c r="I253" s="8">
        <v>10659</v>
      </c>
      <c r="J253" s="8">
        <v>1342</v>
      </c>
      <c r="K253" s="8">
        <v>408</v>
      </c>
      <c r="L253" s="8">
        <v>709</v>
      </c>
      <c r="M253" s="9">
        <v>16309</v>
      </c>
      <c r="N253" s="2">
        <v>168803</v>
      </c>
      <c r="O253" s="2" t="s">
        <v>31</v>
      </c>
    </row>
    <row r="254" spans="1:15">
      <c r="A254" s="2" t="s">
        <v>437</v>
      </c>
      <c r="B254" s="2" t="s">
        <v>21</v>
      </c>
      <c r="C254" s="4">
        <v>45916</v>
      </c>
      <c r="D254" s="2" t="s">
        <v>16</v>
      </c>
      <c r="E254" s="2" t="str">
        <f t="shared" si="6"/>
        <v>#MacBookProM3</v>
      </c>
      <c r="F254" s="2" t="s">
        <v>92</v>
      </c>
      <c r="G254" s="2"/>
      <c r="H254" s="2" t="str">
        <f t="shared" si="7"/>
        <v>#MacBookProM3</v>
      </c>
      <c r="I254" s="8">
        <v>16043</v>
      </c>
      <c r="J254" s="8">
        <v>595</v>
      </c>
      <c r="K254" s="8">
        <v>923</v>
      </c>
      <c r="L254" s="8">
        <v>1194</v>
      </c>
      <c r="M254" s="9">
        <v>52613</v>
      </c>
      <c r="N254" s="2">
        <v>179978</v>
      </c>
      <c r="O254" s="2" t="s">
        <v>24</v>
      </c>
    </row>
    <row r="255" spans="1:15">
      <c r="A255" s="2" t="s">
        <v>438</v>
      </c>
      <c r="B255" s="2" t="s">
        <v>26</v>
      </c>
      <c r="C255" s="3" t="s">
        <v>439</v>
      </c>
      <c r="D255" s="2" t="s">
        <v>43</v>
      </c>
      <c r="E255" s="2" t="str">
        <f t="shared" si="6"/>
        <v>#AppleEvent#iPhone16</v>
      </c>
      <c r="F255" s="2" t="s">
        <v>35</v>
      </c>
      <c r="G255" s="2" t="s">
        <v>69</v>
      </c>
      <c r="H255" s="2" t="str">
        <f t="shared" si="7"/>
        <v>#AppleEvent</v>
      </c>
      <c r="I255" s="8">
        <v>24350</v>
      </c>
      <c r="J255" s="8">
        <v>460</v>
      </c>
      <c r="K255" s="8">
        <v>666</v>
      </c>
      <c r="L255" s="8">
        <v>814</v>
      </c>
      <c r="M255" s="9">
        <v>21120</v>
      </c>
      <c r="N255" s="2">
        <v>76914</v>
      </c>
      <c r="O255" s="2" t="s">
        <v>19</v>
      </c>
    </row>
    <row r="256" spans="1:15">
      <c r="A256" s="2" t="s">
        <v>440</v>
      </c>
      <c r="B256" s="2" t="s">
        <v>26</v>
      </c>
      <c r="C256" s="3" t="s">
        <v>441</v>
      </c>
      <c r="D256" s="2" t="s">
        <v>16</v>
      </c>
      <c r="E256" s="2" t="str">
        <f t="shared" si="6"/>
        <v>#Sustainability#AppleEarth</v>
      </c>
      <c r="F256" s="2" t="s">
        <v>176</v>
      </c>
      <c r="G256" s="2" t="s">
        <v>177</v>
      </c>
      <c r="H256" s="2" t="str">
        <f t="shared" si="7"/>
        <v>#Sustainability</v>
      </c>
      <c r="I256" s="8">
        <v>10837</v>
      </c>
      <c r="J256" s="8">
        <v>1004</v>
      </c>
      <c r="K256" s="8">
        <v>922</v>
      </c>
      <c r="L256" s="8">
        <v>1108</v>
      </c>
      <c r="M256" s="9">
        <v>36807</v>
      </c>
      <c r="N256" s="2">
        <v>150350</v>
      </c>
      <c r="O256" s="2" t="s">
        <v>31</v>
      </c>
    </row>
    <row r="257" spans="1:15">
      <c r="A257" s="2" t="s">
        <v>442</v>
      </c>
      <c r="B257" s="2" t="s">
        <v>14</v>
      </c>
      <c r="C257" s="4">
        <v>45917</v>
      </c>
      <c r="D257" s="2" t="s">
        <v>43</v>
      </c>
      <c r="E257" s="2" t="str">
        <f t="shared" si="6"/>
        <v>#AppleMusic#AppleLifestyle</v>
      </c>
      <c r="F257" s="2" t="s">
        <v>44</v>
      </c>
      <c r="G257" s="2" t="s">
        <v>45</v>
      </c>
      <c r="H257" s="2" t="str">
        <f t="shared" si="7"/>
        <v>#AppleMusic</v>
      </c>
      <c r="I257" s="8">
        <v>2117</v>
      </c>
      <c r="J257" s="8">
        <v>1133</v>
      </c>
      <c r="K257" s="8">
        <v>203</v>
      </c>
      <c r="L257" s="8">
        <v>1173</v>
      </c>
      <c r="M257" s="9">
        <v>40125</v>
      </c>
      <c r="N257" s="2">
        <v>85379</v>
      </c>
      <c r="O257" s="2" t="s">
        <v>24</v>
      </c>
    </row>
    <row r="258" spans="1:15">
      <c r="A258" s="2" t="s">
        <v>443</v>
      </c>
      <c r="B258" s="2" t="s">
        <v>14</v>
      </c>
      <c r="C258" s="3" t="s">
        <v>251</v>
      </c>
      <c r="D258" s="2" t="s">
        <v>43</v>
      </c>
      <c r="E258" s="2" t="str">
        <f t="shared" si="6"/>
        <v>#AppleEvent#iPhone16</v>
      </c>
      <c r="F258" s="2" t="s">
        <v>35</v>
      </c>
      <c r="G258" s="2" t="s">
        <v>69</v>
      </c>
      <c r="H258" s="2" t="str">
        <f t="shared" si="7"/>
        <v>#AppleEvent</v>
      </c>
      <c r="I258" s="8">
        <v>15917</v>
      </c>
      <c r="J258" s="8">
        <v>1479</v>
      </c>
      <c r="K258" s="8">
        <v>196</v>
      </c>
      <c r="L258" s="8">
        <v>313</v>
      </c>
      <c r="M258" s="9">
        <v>48524</v>
      </c>
      <c r="N258" s="2">
        <v>249684</v>
      </c>
      <c r="O258" s="2" t="s">
        <v>37</v>
      </c>
    </row>
    <row r="259" spans="1:15">
      <c r="A259" s="2" t="s">
        <v>444</v>
      </c>
      <c r="B259" s="2" t="s">
        <v>53</v>
      </c>
      <c r="C259" s="3" t="s">
        <v>445</v>
      </c>
      <c r="D259" s="2" t="s">
        <v>34</v>
      </c>
      <c r="E259" s="2" t="str">
        <f t="shared" ref="E259:E301" si="8">CONCATENATE(F259,G259)</f>
        <v>#AppleWatchUltra2#HealthTech</v>
      </c>
      <c r="F259" s="2" t="s">
        <v>17</v>
      </c>
      <c r="G259" s="2" t="s">
        <v>18</v>
      </c>
      <c r="H259" s="2" t="str">
        <f t="shared" ref="H259:H301" si="9">IF(F259&lt;&gt;"",F259,G259)</f>
        <v>#AppleWatchUltra2</v>
      </c>
      <c r="I259" s="8">
        <v>20935</v>
      </c>
      <c r="J259" s="8">
        <v>1104</v>
      </c>
      <c r="K259" s="8">
        <v>876</v>
      </c>
      <c r="L259" s="8">
        <v>1270</v>
      </c>
      <c r="M259" s="9">
        <v>21454</v>
      </c>
      <c r="N259" s="2">
        <v>208722</v>
      </c>
      <c r="O259" s="2" t="s">
        <v>31</v>
      </c>
    </row>
    <row r="260" spans="1:15">
      <c r="A260" s="2" t="s">
        <v>446</v>
      </c>
      <c r="B260" s="2" t="s">
        <v>21</v>
      </c>
      <c r="C260" s="3" t="s">
        <v>447</v>
      </c>
      <c r="D260" s="2" t="s">
        <v>43</v>
      </c>
      <c r="E260" s="2" t="str">
        <f t="shared" si="8"/>
        <v>#MacBookAirM3#AppleInnovation</v>
      </c>
      <c r="F260" s="2" t="s">
        <v>22</v>
      </c>
      <c r="G260" s="2" t="s">
        <v>23</v>
      </c>
      <c r="H260" s="2" t="str">
        <f t="shared" si="9"/>
        <v>#MacBookAirM3</v>
      </c>
      <c r="I260" s="8">
        <v>16309</v>
      </c>
      <c r="J260" s="8">
        <v>1449</v>
      </c>
      <c r="K260" s="8">
        <v>838</v>
      </c>
      <c r="L260" s="8">
        <v>2434</v>
      </c>
      <c r="M260" s="9">
        <v>2940</v>
      </c>
      <c r="N260" s="2">
        <v>217953</v>
      </c>
      <c r="O260" s="2" t="s">
        <v>37</v>
      </c>
    </row>
    <row r="261" spans="1:15">
      <c r="A261" s="2" t="s">
        <v>448</v>
      </c>
      <c r="B261" s="2" t="s">
        <v>14</v>
      </c>
      <c r="C261" s="3" t="s">
        <v>449</v>
      </c>
      <c r="D261" s="2" t="s">
        <v>34</v>
      </c>
      <c r="E261" s="2" t="str">
        <f t="shared" si="8"/>
        <v>#MacBookAirM3#AppleInnovation</v>
      </c>
      <c r="F261" s="2" t="s">
        <v>22</v>
      </c>
      <c r="G261" s="2" t="s">
        <v>23</v>
      </c>
      <c r="H261" s="2" t="str">
        <f t="shared" si="9"/>
        <v>#MacBookAirM3</v>
      </c>
      <c r="I261" s="8">
        <v>15234</v>
      </c>
      <c r="J261" s="8">
        <v>1276</v>
      </c>
      <c r="K261" s="8">
        <v>670</v>
      </c>
      <c r="L261" s="8">
        <v>1860</v>
      </c>
      <c r="M261" s="9">
        <v>60397</v>
      </c>
      <c r="N261" s="2">
        <v>86413</v>
      </c>
      <c r="O261" s="2" t="s">
        <v>62</v>
      </c>
    </row>
    <row r="262" spans="1:15">
      <c r="A262" s="2" t="s">
        <v>450</v>
      </c>
      <c r="B262" s="2" t="s">
        <v>26</v>
      </c>
      <c r="C262" s="3" t="s">
        <v>451</v>
      </c>
      <c r="D262" s="2" t="s">
        <v>43</v>
      </c>
      <c r="E262" s="2" t="str">
        <f t="shared" si="8"/>
        <v>#AppleWatchUltra2#HealthTech</v>
      </c>
      <c r="F262" s="2" t="s">
        <v>17</v>
      </c>
      <c r="G262" s="2" t="s">
        <v>18</v>
      </c>
      <c r="H262" s="2" t="str">
        <f t="shared" si="9"/>
        <v>#AppleWatchUltra2</v>
      </c>
      <c r="I262" s="8">
        <v>7560</v>
      </c>
      <c r="J262" s="8">
        <v>1139</v>
      </c>
      <c r="K262" s="8">
        <v>248</v>
      </c>
      <c r="L262" s="8">
        <v>1624</v>
      </c>
      <c r="M262" s="9">
        <v>72237</v>
      </c>
      <c r="N262" s="2">
        <v>177084</v>
      </c>
      <c r="O262" s="2" t="s">
        <v>31</v>
      </c>
    </row>
    <row r="263" spans="1:15">
      <c r="A263" s="2" t="s">
        <v>452</v>
      </c>
      <c r="B263" s="2" t="s">
        <v>53</v>
      </c>
      <c r="C263" s="3" t="s">
        <v>420</v>
      </c>
      <c r="D263" s="2" t="s">
        <v>28</v>
      </c>
      <c r="E263" s="2" t="str">
        <f t="shared" si="8"/>
        <v>#iPhonePhotography#ShotOniPhone</v>
      </c>
      <c r="F263" s="2" t="s">
        <v>77</v>
      </c>
      <c r="G263" s="2" t="s">
        <v>40</v>
      </c>
      <c r="H263" s="2" t="str">
        <f t="shared" si="9"/>
        <v>#iPhonePhotography</v>
      </c>
      <c r="I263" s="8">
        <v>22673</v>
      </c>
      <c r="J263" s="8">
        <v>1053</v>
      </c>
      <c r="K263" s="8">
        <v>169</v>
      </c>
      <c r="L263" s="8">
        <v>1566</v>
      </c>
      <c r="M263" s="9">
        <v>9417</v>
      </c>
      <c r="N263" s="2">
        <v>221187</v>
      </c>
      <c r="O263" s="2" t="s">
        <v>37</v>
      </c>
    </row>
    <row r="264" spans="1:15">
      <c r="A264" s="2" t="s">
        <v>453</v>
      </c>
      <c r="B264" s="2" t="s">
        <v>26</v>
      </c>
      <c r="C264" s="3" t="s">
        <v>454</v>
      </c>
      <c r="D264" s="2" t="s">
        <v>28</v>
      </c>
      <c r="E264" s="2" t="str">
        <f t="shared" si="8"/>
        <v>#ShotOniPhone</v>
      </c>
      <c r="F264" s="2" t="s">
        <v>40</v>
      </c>
      <c r="G264" s="2"/>
      <c r="H264" s="2" t="str">
        <f t="shared" si="9"/>
        <v>#ShotOniPhone</v>
      </c>
      <c r="I264" s="8">
        <v>2846</v>
      </c>
      <c r="J264" s="8">
        <v>792</v>
      </c>
      <c r="K264" s="8">
        <v>902</v>
      </c>
      <c r="L264" s="8">
        <v>2469</v>
      </c>
      <c r="M264" s="9">
        <v>12130</v>
      </c>
      <c r="N264" s="2">
        <v>47151</v>
      </c>
      <c r="O264" s="2" t="s">
        <v>19</v>
      </c>
    </row>
    <row r="265" spans="1:15">
      <c r="A265" s="2" t="s">
        <v>455</v>
      </c>
      <c r="B265" s="2" t="s">
        <v>26</v>
      </c>
      <c r="C265" s="3" t="s">
        <v>456</v>
      </c>
      <c r="D265" s="2" t="s">
        <v>28</v>
      </c>
      <c r="E265" s="2" t="str">
        <f t="shared" si="8"/>
        <v>#iPhonePhotography#ShotOniPhone</v>
      </c>
      <c r="F265" s="2" t="s">
        <v>77</v>
      </c>
      <c r="G265" s="2" t="s">
        <v>40</v>
      </c>
      <c r="H265" s="2" t="str">
        <f t="shared" si="9"/>
        <v>#iPhonePhotography</v>
      </c>
      <c r="I265" s="8">
        <v>12954</v>
      </c>
      <c r="J265" s="8">
        <v>913</v>
      </c>
      <c r="K265" s="8">
        <v>722</v>
      </c>
      <c r="L265" s="8">
        <v>1049</v>
      </c>
      <c r="M265" s="9">
        <v>475</v>
      </c>
      <c r="N265" s="2">
        <v>97716</v>
      </c>
      <c r="O265" s="2" t="s">
        <v>19</v>
      </c>
    </row>
    <row r="266" spans="1:15">
      <c r="A266" s="2" t="s">
        <v>457</v>
      </c>
      <c r="B266" s="2" t="s">
        <v>14</v>
      </c>
      <c r="C266" s="3" t="s">
        <v>458</v>
      </c>
      <c r="D266" s="2" t="s">
        <v>43</v>
      </c>
      <c r="E266" s="2" t="str">
        <f t="shared" si="8"/>
        <v>#iPhone16Launch#AppleEvent</v>
      </c>
      <c r="F266" s="2" t="s">
        <v>55</v>
      </c>
      <c r="G266" s="2" t="s">
        <v>35</v>
      </c>
      <c r="H266" s="2" t="str">
        <f t="shared" si="9"/>
        <v>#iPhone16Launch</v>
      </c>
      <c r="I266" s="8">
        <v>15703</v>
      </c>
      <c r="J266" s="8">
        <v>1381</v>
      </c>
      <c r="K266" s="8">
        <v>639</v>
      </c>
      <c r="L266" s="8">
        <v>984</v>
      </c>
      <c r="M266" s="9">
        <v>10967</v>
      </c>
      <c r="N266" s="2">
        <v>133747</v>
      </c>
      <c r="O266" s="2" t="s">
        <v>62</v>
      </c>
    </row>
    <row r="267" spans="1:15">
      <c r="A267" s="2" t="s">
        <v>459</v>
      </c>
      <c r="B267" s="2" t="s">
        <v>53</v>
      </c>
      <c r="C267" s="3" t="s">
        <v>460</v>
      </c>
      <c r="D267" s="2" t="s">
        <v>34</v>
      </c>
      <c r="E267" s="2" t="str">
        <f t="shared" si="8"/>
        <v>#iPhone16Launch#AppleEvent</v>
      </c>
      <c r="F267" s="2" t="s">
        <v>55</v>
      </c>
      <c r="G267" s="2" t="s">
        <v>35</v>
      </c>
      <c r="H267" s="2" t="str">
        <f t="shared" si="9"/>
        <v>#iPhone16Launch</v>
      </c>
      <c r="I267" s="8">
        <v>17385</v>
      </c>
      <c r="J267" s="8">
        <v>831</v>
      </c>
      <c r="K267" s="8">
        <v>568</v>
      </c>
      <c r="L267" s="8">
        <v>2227</v>
      </c>
      <c r="M267" s="9">
        <v>49351</v>
      </c>
      <c r="N267" s="2">
        <v>207450</v>
      </c>
      <c r="O267" s="2" t="s">
        <v>31</v>
      </c>
    </row>
    <row r="268" spans="1:15">
      <c r="A268" s="2" t="s">
        <v>461</v>
      </c>
      <c r="B268" s="2" t="s">
        <v>21</v>
      </c>
      <c r="C268" s="3" t="s">
        <v>350</v>
      </c>
      <c r="D268" s="2" t="s">
        <v>34</v>
      </c>
      <c r="E268" s="2" t="str">
        <f t="shared" si="8"/>
        <v>#AppleEvent#iPhone16</v>
      </c>
      <c r="F268" s="2" t="s">
        <v>35</v>
      </c>
      <c r="G268" s="2" t="s">
        <v>69</v>
      </c>
      <c r="H268" s="2" t="str">
        <f t="shared" si="9"/>
        <v>#AppleEvent</v>
      </c>
      <c r="I268" s="8">
        <v>15746</v>
      </c>
      <c r="J268" s="8">
        <v>258</v>
      </c>
      <c r="K268" s="8">
        <v>839</v>
      </c>
      <c r="L268" s="8">
        <v>2656</v>
      </c>
      <c r="M268" s="9">
        <v>66614</v>
      </c>
      <c r="N268" s="2">
        <v>213724</v>
      </c>
      <c r="O268" s="2" t="s">
        <v>31</v>
      </c>
    </row>
    <row r="269" spans="1:15">
      <c r="A269" s="2" t="s">
        <v>462</v>
      </c>
      <c r="B269" s="2" t="s">
        <v>21</v>
      </c>
      <c r="C269" s="3" t="s">
        <v>463</v>
      </c>
      <c r="D269" s="2" t="s">
        <v>43</v>
      </c>
      <c r="E269" s="2" t="str">
        <f t="shared" si="8"/>
        <v>#MacBookProM3</v>
      </c>
      <c r="F269" s="2" t="s">
        <v>92</v>
      </c>
      <c r="G269" s="2"/>
      <c r="H269" s="2" t="str">
        <f t="shared" si="9"/>
        <v>#MacBookProM3</v>
      </c>
      <c r="I269" s="8">
        <v>24700</v>
      </c>
      <c r="J269" s="8">
        <v>327</v>
      </c>
      <c r="K269" s="8">
        <v>999</v>
      </c>
      <c r="L269" s="8">
        <v>994</v>
      </c>
      <c r="M269" s="9">
        <v>59400</v>
      </c>
      <c r="N269" s="2">
        <v>243502</v>
      </c>
      <c r="O269" s="2" t="s">
        <v>31</v>
      </c>
    </row>
    <row r="270" spans="1:15">
      <c r="A270" s="2" t="s">
        <v>464</v>
      </c>
      <c r="B270" s="2" t="s">
        <v>14</v>
      </c>
      <c r="C270" s="3" t="s">
        <v>465</v>
      </c>
      <c r="D270" s="2" t="s">
        <v>28</v>
      </c>
      <c r="E270" s="2" t="str">
        <f t="shared" si="8"/>
        <v>#MacBookProM3</v>
      </c>
      <c r="F270" s="2" t="s">
        <v>92</v>
      </c>
      <c r="G270" s="2"/>
      <c r="H270" s="2" t="str">
        <f t="shared" si="9"/>
        <v>#MacBookProM3</v>
      </c>
      <c r="I270" s="8">
        <v>8469</v>
      </c>
      <c r="J270" s="8">
        <v>935</v>
      </c>
      <c r="K270" s="8">
        <v>211</v>
      </c>
      <c r="L270" s="8">
        <v>2635</v>
      </c>
      <c r="M270" s="9">
        <v>21890</v>
      </c>
      <c r="N270" s="2">
        <v>184539</v>
      </c>
      <c r="O270" s="2" t="s">
        <v>62</v>
      </c>
    </row>
    <row r="271" spans="1:15">
      <c r="A271" s="2" t="s">
        <v>466</v>
      </c>
      <c r="B271" s="2" t="s">
        <v>14</v>
      </c>
      <c r="C271" s="3" t="s">
        <v>365</v>
      </c>
      <c r="D271" s="2" t="s">
        <v>28</v>
      </c>
      <c r="E271" s="2" t="str">
        <f t="shared" si="8"/>
        <v>#MacBookAirM3#AppleInnovation</v>
      </c>
      <c r="F271" s="2" t="s">
        <v>22</v>
      </c>
      <c r="G271" s="2" t="s">
        <v>23</v>
      </c>
      <c r="H271" s="2" t="str">
        <f t="shared" si="9"/>
        <v>#MacBookAirM3</v>
      </c>
      <c r="I271" s="8">
        <v>11333</v>
      </c>
      <c r="J271" s="8">
        <v>920</v>
      </c>
      <c r="K271" s="8">
        <v>294</v>
      </c>
      <c r="L271" s="8">
        <v>606</v>
      </c>
      <c r="M271" s="9">
        <v>59490</v>
      </c>
      <c r="N271" s="2">
        <v>202082</v>
      </c>
      <c r="O271" s="2" t="s">
        <v>31</v>
      </c>
    </row>
    <row r="272" spans="1:15">
      <c r="A272" s="2" t="s">
        <v>467</v>
      </c>
      <c r="B272" s="2" t="s">
        <v>53</v>
      </c>
      <c r="C272" s="3" t="s">
        <v>468</v>
      </c>
      <c r="D272" s="2" t="s">
        <v>34</v>
      </c>
      <c r="E272" s="2" t="str">
        <f t="shared" si="8"/>
        <v>#AppleDesign#Innovation</v>
      </c>
      <c r="F272" s="2" t="s">
        <v>29</v>
      </c>
      <c r="G272" s="2" t="s">
        <v>30</v>
      </c>
      <c r="H272" s="2" t="str">
        <f t="shared" si="9"/>
        <v>#AppleDesign</v>
      </c>
      <c r="I272" s="8">
        <v>18608</v>
      </c>
      <c r="J272" s="8">
        <v>1338</v>
      </c>
      <c r="K272" s="8">
        <v>365</v>
      </c>
      <c r="L272" s="8">
        <v>2289</v>
      </c>
      <c r="M272" s="9">
        <v>20785</v>
      </c>
      <c r="N272" s="2">
        <v>161999</v>
      </c>
      <c r="O272" s="2" t="s">
        <v>19</v>
      </c>
    </row>
    <row r="273" spans="1:15">
      <c r="A273" s="2" t="s">
        <v>469</v>
      </c>
      <c r="B273" s="2" t="s">
        <v>21</v>
      </c>
      <c r="C273" s="3" t="s">
        <v>470</v>
      </c>
      <c r="D273" s="2" t="s">
        <v>28</v>
      </c>
      <c r="E273" s="2" t="str">
        <f t="shared" si="8"/>
        <v>#iPhonePhotography#ShotOniPhone</v>
      </c>
      <c r="F273" s="2" t="s">
        <v>77</v>
      </c>
      <c r="G273" s="2" t="s">
        <v>40</v>
      </c>
      <c r="H273" s="2" t="str">
        <f t="shared" si="9"/>
        <v>#iPhonePhotography</v>
      </c>
      <c r="I273" s="8">
        <v>14819</v>
      </c>
      <c r="J273" s="8">
        <v>1432</v>
      </c>
      <c r="K273" s="8">
        <v>152</v>
      </c>
      <c r="L273" s="8">
        <v>961</v>
      </c>
      <c r="M273" s="9">
        <v>39154</v>
      </c>
      <c r="N273" s="2">
        <v>154793</v>
      </c>
      <c r="O273" s="2" t="s">
        <v>37</v>
      </c>
    </row>
    <row r="274" spans="1:15">
      <c r="A274" s="2" t="s">
        <v>471</v>
      </c>
      <c r="B274" s="2" t="s">
        <v>21</v>
      </c>
      <c r="C274" s="3" t="s">
        <v>472</v>
      </c>
      <c r="D274" s="2" t="s">
        <v>16</v>
      </c>
      <c r="E274" s="2" t="str">
        <f t="shared" si="8"/>
        <v>#Sustainability#AppleEarth</v>
      </c>
      <c r="F274" s="2" t="s">
        <v>176</v>
      </c>
      <c r="G274" s="2" t="s">
        <v>177</v>
      </c>
      <c r="H274" s="2" t="str">
        <f t="shared" si="9"/>
        <v>#Sustainability</v>
      </c>
      <c r="I274" s="8">
        <v>6208</v>
      </c>
      <c r="J274" s="8">
        <v>725</v>
      </c>
      <c r="K274" s="8">
        <v>309</v>
      </c>
      <c r="L274" s="8">
        <v>848</v>
      </c>
      <c r="M274" s="9">
        <v>39319</v>
      </c>
      <c r="N274" s="2">
        <v>225763</v>
      </c>
      <c r="O274" s="2" t="s">
        <v>19</v>
      </c>
    </row>
    <row r="275" spans="1:15">
      <c r="A275" s="2" t="s">
        <v>473</v>
      </c>
      <c r="B275" s="2" t="s">
        <v>21</v>
      </c>
      <c r="C275" s="3" t="s">
        <v>292</v>
      </c>
      <c r="D275" s="2" t="s">
        <v>34</v>
      </c>
      <c r="E275" s="2" t="str">
        <f t="shared" si="8"/>
        <v>#AppleMusic#AppleLifestyle</v>
      </c>
      <c r="F275" s="2" t="s">
        <v>44</v>
      </c>
      <c r="G275" s="2" t="s">
        <v>45</v>
      </c>
      <c r="H275" s="2" t="str">
        <f t="shared" si="9"/>
        <v>#AppleMusic</v>
      </c>
      <c r="I275" s="8">
        <v>8283</v>
      </c>
      <c r="J275" s="8">
        <v>720</v>
      </c>
      <c r="K275" s="8">
        <v>888</v>
      </c>
      <c r="L275" s="8">
        <v>611</v>
      </c>
      <c r="M275" s="9">
        <v>52791</v>
      </c>
      <c r="N275" s="2">
        <v>235229</v>
      </c>
      <c r="O275" s="2" t="s">
        <v>19</v>
      </c>
    </row>
    <row r="276" spans="1:15">
      <c r="A276" s="2" t="s">
        <v>474</v>
      </c>
      <c r="B276" s="2" t="s">
        <v>26</v>
      </c>
      <c r="C276" s="3" t="s">
        <v>445</v>
      </c>
      <c r="D276" s="2" t="s">
        <v>28</v>
      </c>
      <c r="E276" s="2" t="str">
        <f t="shared" si="8"/>
        <v>#AppleWatch#Health</v>
      </c>
      <c r="F276" s="2" t="s">
        <v>48</v>
      </c>
      <c r="G276" s="2" t="s">
        <v>49</v>
      </c>
      <c r="H276" s="2" t="str">
        <f t="shared" si="9"/>
        <v>#AppleWatch</v>
      </c>
      <c r="I276" s="8">
        <v>4048</v>
      </c>
      <c r="J276" s="8">
        <v>751</v>
      </c>
      <c r="K276" s="8">
        <v>930</v>
      </c>
      <c r="L276" s="8">
        <v>1382</v>
      </c>
      <c r="M276" s="9">
        <v>16844</v>
      </c>
      <c r="N276" s="2">
        <v>148177</v>
      </c>
      <c r="O276" s="2" t="s">
        <v>37</v>
      </c>
    </row>
    <row r="277" spans="1:15">
      <c r="A277" s="2" t="s">
        <v>475</v>
      </c>
      <c r="B277" s="2" t="s">
        <v>21</v>
      </c>
      <c r="C277" s="3" t="s">
        <v>476</v>
      </c>
      <c r="D277" s="2" t="s">
        <v>34</v>
      </c>
      <c r="E277" s="2" t="str">
        <f t="shared" si="8"/>
        <v>#AppleEvent#iPadPro</v>
      </c>
      <c r="F277" s="2" t="s">
        <v>35</v>
      </c>
      <c r="G277" s="2" t="s">
        <v>36</v>
      </c>
      <c r="H277" s="2" t="str">
        <f t="shared" si="9"/>
        <v>#AppleEvent</v>
      </c>
      <c r="I277" s="8">
        <v>8233</v>
      </c>
      <c r="J277" s="8">
        <v>436</v>
      </c>
      <c r="K277" s="8">
        <v>269</v>
      </c>
      <c r="L277" s="8">
        <v>2037</v>
      </c>
      <c r="M277" s="9">
        <v>8875</v>
      </c>
      <c r="N277" s="2">
        <v>52289</v>
      </c>
      <c r="O277" s="2" t="s">
        <v>19</v>
      </c>
    </row>
    <row r="278" spans="1:15">
      <c r="A278" s="2" t="s">
        <v>477</v>
      </c>
      <c r="B278" s="2" t="s">
        <v>26</v>
      </c>
      <c r="C278" s="3" t="s">
        <v>251</v>
      </c>
      <c r="D278" s="2" t="s">
        <v>16</v>
      </c>
      <c r="E278" s="2" t="str">
        <f t="shared" si="8"/>
        <v>#MacBookProM3</v>
      </c>
      <c r="F278" s="2" t="s">
        <v>92</v>
      </c>
      <c r="G278" s="2"/>
      <c r="H278" s="2" t="str">
        <f t="shared" si="9"/>
        <v>#MacBookProM3</v>
      </c>
      <c r="I278" s="8">
        <v>14941</v>
      </c>
      <c r="J278" s="8">
        <v>1424</v>
      </c>
      <c r="K278" s="8">
        <v>238</v>
      </c>
      <c r="L278" s="8">
        <v>1054</v>
      </c>
      <c r="M278" s="9">
        <v>20516</v>
      </c>
      <c r="N278" s="2">
        <v>216048</v>
      </c>
      <c r="O278" s="2" t="s">
        <v>62</v>
      </c>
    </row>
    <row r="279" spans="1:15">
      <c r="A279" s="2" t="s">
        <v>478</v>
      </c>
      <c r="B279" s="2" t="s">
        <v>53</v>
      </c>
      <c r="C279" s="3" t="s">
        <v>479</v>
      </c>
      <c r="D279" s="2" t="s">
        <v>34</v>
      </c>
      <c r="E279" s="2" t="str">
        <f t="shared" si="8"/>
        <v>#AppleMusic#AppleLifestyle</v>
      </c>
      <c r="F279" s="2" t="s">
        <v>44</v>
      </c>
      <c r="G279" s="2" t="s">
        <v>45</v>
      </c>
      <c r="H279" s="2" t="str">
        <f t="shared" si="9"/>
        <v>#AppleMusic</v>
      </c>
      <c r="I279" s="8">
        <v>14607</v>
      </c>
      <c r="J279" s="8">
        <v>1458</v>
      </c>
      <c r="K279" s="8">
        <v>478</v>
      </c>
      <c r="L279" s="8">
        <v>334</v>
      </c>
      <c r="M279" s="9">
        <v>49257</v>
      </c>
      <c r="N279" s="2">
        <v>214668</v>
      </c>
      <c r="O279" s="2" t="s">
        <v>37</v>
      </c>
    </row>
    <row r="280" spans="1:15">
      <c r="A280" s="2" t="s">
        <v>480</v>
      </c>
      <c r="B280" s="2" t="s">
        <v>26</v>
      </c>
      <c r="C280" s="3" t="s">
        <v>163</v>
      </c>
      <c r="D280" s="2" t="s">
        <v>34</v>
      </c>
      <c r="E280" s="2" t="str">
        <f t="shared" si="8"/>
        <v>#AppleEvent#iPadPro</v>
      </c>
      <c r="F280" s="2" t="s">
        <v>35</v>
      </c>
      <c r="G280" s="2" t="s">
        <v>36</v>
      </c>
      <c r="H280" s="2" t="str">
        <f t="shared" si="9"/>
        <v>#AppleEvent</v>
      </c>
      <c r="I280" s="8">
        <v>11765</v>
      </c>
      <c r="J280" s="8">
        <v>693</v>
      </c>
      <c r="K280" s="8">
        <v>729</v>
      </c>
      <c r="L280" s="8">
        <v>744</v>
      </c>
      <c r="M280" s="9">
        <v>97772</v>
      </c>
      <c r="N280" s="2">
        <v>194243</v>
      </c>
      <c r="O280" s="2" t="s">
        <v>19</v>
      </c>
    </row>
    <row r="281" spans="1:15">
      <c r="A281" s="2" t="s">
        <v>481</v>
      </c>
      <c r="B281" s="2" t="s">
        <v>53</v>
      </c>
      <c r="C281" s="4">
        <v>45918</v>
      </c>
      <c r="D281" s="2" t="s">
        <v>34</v>
      </c>
      <c r="E281" s="2" t="str">
        <f t="shared" si="8"/>
        <v>#AppleMusic#AppleLifestyle</v>
      </c>
      <c r="F281" s="2" t="s">
        <v>44</v>
      </c>
      <c r="G281" s="2" t="s">
        <v>45</v>
      </c>
      <c r="H281" s="2" t="str">
        <f t="shared" si="9"/>
        <v>#AppleMusic</v>
      </c>
      <c r="I281" s="8">
        <v>3828</v>
      </c>
      <c r="J281" s="8">
        <v>203</v>
      </c>
      <c r="K281" s="8">
        <v>506</v>
      </c>
      <c r="L281" s="8">
        <v>2440</v>
      </c>
      <c r="M281" s="9">
        <v>63650</v>
      </c>
      <c r="N281" s="2">
        <v>126365</v>
      </c>
      <c r="O281" s="2" t="s">
        <v>24</v>
      </c>
    </row>
    <row r="282" spans="1:15">
      <c r="A282" s="2" t="s">
        <v>482</v>
      </c>
      <c r="B282" s="2" t="s">
        <v>21</v>
      </c>
      <c r="C282" s="3" t="s">
        <v>483</v>
      </c>
      <c r="D282" s="2" t="s">
        <v>34</v>
      </c>
      <c r="E282" s="2" t="str">
        <f t="shared" si="8"/>
        <v>#AppleEvent#iPhone16</v>
      </c>
      <c r="F282" s="2" t="s">
        <v>35</v>
      </c>
      <c r="G282" s="2" t="s">
        <v>69</v>
      </c>
      <c r="H282" s="2" t="str">
        <f t="shared" si="9"/>
        <v>#AppleEvent</v>
      </c>
      <c r="I282" s="8">
        <v>3917</v>
      </c>
      <c r="J282" s="8">
        <v>865</v>
      </c>
      <c r="K282" s="8">
        <v>759</v>
      </c>
      <c r="L282" s="8">
        <v>2282</v>
      </c>
      <c r="M282" s="9">
        <v>56125</v>
      </c>
      <c r="N282" s="2">
        <v>154014</v>
      </c>
      <c r="O282" s="2" t="s">
        <v>19</v>
      </c>
    </row>
    <row r="283" spans="1:15">
      <c r="A283" s="2" t="s">
        <v>484</v>
      </c>
      <c r="B283" s="2" t="s">
        <v>21</v>
      </c>
      <c r="C283" s="3" t="s">
        <v>485</v>
      </c>
      <c r="D283" s="2" t="s">
        <v>16</v>
      </c>
      <c r="E283" s="2" t="str">
        <f t="shared" si="8"/>
        <v>#AppleEvent#iPadPro</v>
      </c>
      <c r="F283" s="2" t="s">
        <v>35</v>
      </c>
      <c r="G283" s="2" t="s">
        <v>36</v>
      </c>
      <c r="H283" s="2" t="str">
        <f t="shared" si="9"/>
        <v>#AppleEvent</v>
      </c>
      <c r="I283" s="8">
        <v>22618</v>
      </c>
      <c r="J283" s="8">
        <v>641</v>
      </c>
      <c r="K283" s="8">
        <v>416</v>
      </c>
      <c r="L283" s="8">
        <v>1530</v>
      </c>
      <c r="M283" s="9">
        <v>18395</v>
      </c>
      <c r="N283" s="2">
        <v>215211</v>
      </c>
      <c r="O283" s="2" t="s">
        <v>62</v>
      </c>
    </row>
    <row r="284" spans="1:15">
      <c r="A284" s="2" t="s">
        <v>486</v>
      </c>
      <c r="B284" s="2" t="s">
        <v>53</v>
      </c>
      <c r="C284" s="3" t="s">
        <v>487</v>
      </c>
      <c r="D284" s="2" t="s">
        <v>43</v>
      </c>
      <c r="E284" s="2" t="str">
        <f t="shared" si="8"/>
        <v>#AppleWatch#Health</v>
      </c>
      <c r="F284" s="2" t="s">
        <v>48</v>
      </c>
      <c r="G284" s="2" t="s">
        <v>49</v>
      </c>
      <c r="H284" s="2" t="str">
        <f t="shared" si="9"/>
        <v>#AppleWatch</v>
      </c>
      <c r="I284" s="8">
        <v>8988</v>
      </c>
      <c r="J284" s="8">
        <v>228</v>
      </c>
      <c r="K284" s="8">
        <v>766</v>
      </c>
      <c r="L284" s="8">
        <v>652</v>
      </c>
      <c r="M284" s="9">
        <v>63789</v>
      </c>
      <c r="N284" s="2">
        <v>219785</v>
      </c>
      <c r="O284" s="2" t="s">
        <v>31</v>
      </c>
    </row>
    <row r="285" spans="1:15">
      <c r="A285" s="2" t="s">
        <v>488</v>
      </c>
      <c r="B285" s="2" t="s">
        <v>14</v>
      </c>
      <c r="C285" s="3" t="s">
        <v>88</v>
      </c>
      <c r="D285" s="2" t="s">
        <v>34</v>
      </c>
      <c r="E285" s="2" t="str">
        <f t="shared" si="8"/>
        <v>#AppleMusic#AppleLifestyle</v>
      </c>
      <c r="F285" s="2" t="s">
        <v>44</v>
      </c>
      <c r="G285" s="2" t="s">
        <v>45</v>
      </c>
      <c r="H285" s="2" t="str">
        <f t="shared" si="9"/>
        <v>#AppleMusic</v>
      </c>
      <c r="I285" s="8">
        <v>20410</v>
      </c>
      <c r="J285" s="8">
        <v>1332</v>
      </c>
      <c r="K285" s="8">
        <v>472</v>
      </c>
      <c r="L285" s="8">
        <v>1202</v>
      </c>
      <c r="M285" s="9">
        <v>9418</v>
      </c>
      <c r="N285" s="2">
        <v>200806</v>
      </c>
      <c r="O285" s="2" t="s">
        <v>19</v>
      </c>
    </row>
    <row r="286" spans="1:15">
      <c r="A286" s="2" t="s">
        <v>489</v>
      </c>
      <c r="B286" s="2" t="s">
        <v>53</v>
      </c>
      <c r="C286" s="3" t="s">
        <v>433</v>
      </c>
      <c r="D286" s="2" t="s">
        <v>34</v>
      </c>
      <c r="E286" s="2" t="str">
        <f t="shared" si="8"/>
        <v>#AppleWatchUltra2#HealthTech</v>
      </c>
      <c r="F286" s="2" t="s">
        <v>17</v>
      </c>
      <c r="G286" s="2" t="s">
        <v>18</v>
      </c>
      <c r="H286" s="2" t="str">
        <f t="shared" si="9"/>
        <v>#AppleWatchUltra2</v>
      </c>
      <c r="I286" s="8">
        <v>16594</v>
      </c>
      <c r="J286" s="8">
        <v>809</v>
      </c>
      <c r="K286" s="8">
        <v>784</v>
      </c>
      <c r="L286" s="8">
        <v>1655</v>
      </c>
      <c r="M286" s="9">
        <v>35505</v>
      </c>
      <c r="N286" s="2">
        <v>112588</v>
      </c>
      <c r="O286" s="2" t="s">
        <v>31</v>
      </c>
    </row>
    <row r="287" spans="1:15">
      <c r="A287" s="2" t="s">
        <v>490</v>
      </c>
      <c r="B287" s="2" t="s">
        <v>14</v>
      </c>
      <c r="C287" s="4">
        <v>45919</v>
      </c>
      <c r="D287" s="2" t="s">
        <v>28</v>
      </c>
      <c r="E287" s="2" t="str">
        <f t="shared" si="8"/>
        <v>#AppleWatch#Health</v>
      </c>
      <c r="F287" s="2" t="s">
        <v>48</v>
      </c>
      <c r="G287" s="2" t="s">
        <v>49</v>
      </c>
      <c r="H287" s="2" t="str">
        <f t="shared" si="9"/>
        <v>#AppleWatch</v>
      </c>
      <c r="I287" s="8">
        <v>22128</v>
      </c>
      <c r="J287" s="8">
        <v>1004</v>
      </c>
      <c r="K287" s="8">
        <v>690</v>
      </c>
      <c r="L287" s="8">
        <v>2048</v>
      </c>
      <c r="M287" s="9">
        <v>19443</v>
      </c>
      <c r="N287" s="2">
        <v>103646</v>
      </c>
      <c r="O287" s="2" t="s">
        <v>24</v>
      </c>
    </row>
    <row r="288" spans="1:15">
      <c r="A288" s="2" t="s">
        <v>491</v>
      </c>
      <c r="B288" s="2" t="s">
        <v>26</v>
      </c>
      <c r="C288" s="3" t="s">
        <v>357</v>
      </c>
      <c r="D288" s="2" t="s">
        <v>34</v>
      </c>
      <c r="E288" s="2" t="str">
        <f t="shared" si="8"/>
        <v>#AppleEvent#iPadPro</v>
      </c>
      <c r="F288" s="2" t="s">
        <v>35</v>
      </c>
      <c r="G288" s="2" t="s">
        <v>36</v>
      </c>
      <c r="H288" s="2" t="str">
        <f t="shared" si="9"/>
        <v>#AppleEvent</v>
      </c>
      <c r="I288" s="8">
        <v>14977</v>
      </c>
      <c r="J288" s="8">
        <v>274</v>
      </c>
      <c r="K288" s="8">
        <v>798</v>
      </c>
      <c r="L288" s="8">
        <v>458</v>
      </c>
      <c r="M288" s="9">
        <v>6636</v>
      </c>
      <c r="N288" s="2">
        <v>43654</v>
      </c>
      <c r="O288" s="2" t="s">
        <v>19</v>
      </c>
    </row>
    <row r="289" spans="1:15">
      <c r="A289" s="2" t="s">
        <v>492</v>
      </c>
      <c r="B289" s="2" t="s">
        <v>26</v>
      </c>
      <c r="C289" s="3" t="s">
        <v>493</v>
      </c>
      <c r="D289" s="2" t="s">
        <v>28</v>
      </c>
      <c r="E289" s="2" t="str">
        <f t="shared" si="8"/>
        <v>#AppleWatch#Health</v>
      </c>
      <c r="F289" s="2" t="s">
        <v>48</v>
      </c>
      <c r="G289" s="2" t="s">
        <v>49</v>
      </c>
      <c r="H289" s="2" t="str">
        <f t="shared" si="9"/>
        <v>#AppleWatch</v>
      </c>
      <c r="I289" s="8">
        <v>2009</v>
      </c>
      <c r="J289" s="8">
        <v>1037</v>
      </c>
      <c r="K289" s="8">
        <v>344</v>
      </c>
      <c r="L289" s="8">
        <v>2277</v>
      </c>
      <c r="M289" s="9">
        <v>85743</v>
      </c>
      <c r="N289" s="2">
        <v>58743</v>
      </c>
      <c r="O289" s="2" t="s">
        <v>37</v>
      </c>
    </row>
    <row r="290" spans="1:15">
      <c r="A290" s="2" t="s">
        <v>494</v>
      </c>
      <c r="B290" s="2" t="s">
        <v>26</v>
      </c>
      <c r="C290" s="3" t="s">
        <v>267</v>
      </c>
      <c r="D290" s="2" t="s">
        <v>43</v>
      </c>
      <c r="E290" s="2" t="str">
        <f t="shared" si="8"/>
        <v>#AppleMusic#AppleLifestyle</v>
      </c>
      <c r="F290" s="2" t="s">
        <v>44</v>
      </c>
      <c r="G290" s="2" t="s">
        <v>45</v>
      </c>
      <c r="H290" s="2" t="str">
        <f t="shared" si="9"/>
        <v>#AppleMusic</v>
      </c>
      <c r="I290" s="8">
        <v>18644</v>
      </c>
      <c r="J290" s="8">
        <v>1369</v>
      </c>
      <c r="K290" s="8">
        <v>887</v>
      </c>
      <c r="L290" s="8">
        <v>1256</v>
      </c>
      <c r="M290" s="9">
        <v>43415</v>
      </c>
      <c r="N290" s="2">
        <v>88368</v>
      </c>
      <c r="O290" s="2" t="s">
        <v>31</v>
      </c>
    </row>
    <row r="291" spans="1:15">
      <c r="A291" s="2" t="s">
        <v>495</v>
      </c>
      <c r="B291" s="2" t="s">
        <v>21</v>
      </c>
      <c r="C291" s="4">
        <v>45920</v>
      </c>
      <c r="D291" s="2" t="s">
        <v>16</v>
      </c>
      <c r="E291" s="2" t="str">
        <f t="shared" si="8"/>
        <v>#ShotOniPhone</v>
      </c>
      <c r="F291" s="2" t="s">
        <v>40</v>
      </c>
      <c r="G291" s="2"/>
      <c r="H291" s="2" t="str">
        <f t="shared" si="9"/>
        <v>#ShotOniPhone</v>
      </c>
      <c r="I291" s="8">
        <v>24422</v>
      </c>
      <c r="J291" s="8">
        <v>327</v>
      </c>
      <c r="K291" s="8">
        <v>481</v>
      </c>
      <c r="L291" s="8">
        <v>2371</v>
      </c>
      <c r="M291" s="9">
        <v>35340</v>
      </c>
      <c r="N291" s="2">
        <v>245244</v>
      </c>
      <c r="O291" s="2" t="s">
        <v>24</v>
      </c>
    </row>
    <row r="292" spans="1:15">
      <c r="A292" s="2" t="s">
        <v>496</v>
      </c>
      <c r="B292" s="2" t="s">
        <v>26</v>
      </c>
      <c r="C292" s="3" t="s">
        <v>81</v>
      </c>
      <c r="D292" s="2" t="s">
        <v>16</v>
      </c>
      <c r="E292" s="2" t="str">
        <f t="shared" si="8"/>
        <v>#AppleMusic#AppleLifestyle</v>
      </c>
      <c r="F292" s="2" t="s">
        <v>44</v>
      </c>
      <c r="G292" s="2" t="s">
        <v>45</v>
      </c>
      <c r="H292" s="2" t="str">
        <f t="shared" si="9"/>
        <v>#AppleMusic</v>
      </c>
      <c r="I292" s="8">
        <v>11865</v>
      </c>
      <c r="J292" s="8">
        <v>241</v>
      </c>
      <c r="K292" s="8">
        <v>319</v>
      </c>
      <c r="L292" s="8">
        <v>703</v>
      </c>
      <c r="M292" s="9">
        <v>69596</v>
      </c>
      <c r="N292" s="2">
        <v>177513</v>
      </c>
      <c r="O292" s="2" t="s">
        <v>37</v>
      </c>
    </row>
    <row r="293" spans="1:15">
      <c r="A293" s="2" t="s">
        <v>497</v>
      </c>
      <c r="B293" s="2" t="s">
        <v>14</v>
      </c>
      <c r="C293" s="3" t="s">
        <v>498</v>
      </c>
      <c r="D293" s="2" t="s">
        <v>43</v>
      </c>
      <c r="E293" s="2" t="str">
        <f t="shared" si="8"/>
        <v>#AppleMusic#AppleLifestyle</v>
      </c>
      <c r="F293" s="2" t="s">
        <v>44</v>
      </c>
      <c r="G293" s="2" t="s">
        <v>45</v>
      </c>
      <c r="H293" s="2" t="str">
        <f t="shared" si="9"/>
        <v>#AppleMusic</v>
      </c>
      <c r="I293" s="8">
        <v>4219</v>
      </c>
      <c r="J293" s="8">
        <v>240</v>
      </c>
      <c r="K293" s="8">
        <v>670</v>
      </c>
      <c r="L293" s="8">
        <v>815</v>
      </c>
      <c r="M293" s="9">
        <v>11978</v>
      </c>
      <c r="N293" s="2">
        <v>159735</v>
      </c>
      <c r="O293" s="2" t="s">
        <v>37</v>
      </c>
    </row>
    <row r="294" spans="1:15">
      <c r="A294" s="2" t="s">
        <v>499</v>
      </c>
      <c r="B294" s="2" t="s">
        <v>26</v>
      </c>
      <c r="C294" s="3" t="s">
        <v>500</v>
      </c>
      <c r="D294" s="2" t="s">
        <v>16</v>
      </c>
      <c r="E294" s="2" t="str">
        <f t="shared" si="8"/>
        <v>#AppleEvent#iPhone16</v>
      </c>
      <c r="F294" s="2" t="s">
        <v>35</v>
      </c>
      <c r="G294" s="2" t="s">
        <v>69</v>
      </c>
      <c r="H294" s="2" t="str">
        <f t="shared" si="9"/>
        <v>#AppleEvent</v>
      </c>
      <c r="I294" s="8">
        <v>9041</v>
      </c>
      <c r="J294" s="8">
        <v>1133</v>
      </c>
      <c r="K294" s="8">
        <v>612</v>
      </c>
      <c r="L294" s="8">
        <v>1687</v>
      </c>
      <c r="M294" s="9">
        <v>28102</v>
      </c>
      <c r="N294" s="2">
        <v>195683</v>
      </c>
      <c r="O294" s="2" t="s">
        <v>37</v>
      </c>
    </row>
    <row r="295" spans="1:15">
      <c r="A295" s="2" t="s">
        <v>501</v>
      </c>
      <c r="B295" s="2" t="s">
        <v>53</v>
      </c>
      <c r="C295" s="3" t="s">
        <v>502</v>
      </c>
      <c r="D295" s="2" t="s">
        <v>43</v>
      </c>
      <c r="E295" s="2" t="str">
        <f t="shared" si="8"/>
        <v>#iPhonePhotography#ShotOniPhone</v>
      </c>
      <c r="F295" s="2" t="s">
        <v>77</v>
      </c>
      <c r="G295" s="2" t="s">
        <v>40</v>
      </c>
      <c r="H295" s="2" t="str">
        <f t="shared" si="9"/>
        <v>#iPhonePhotography</v>
      </c>
      <c r="I295" s="8">
        <v>20444</v>
      </c>
      <c r="J295" s="8">
        <v>233</v>
      </c>
      <c r="K295" s="8">
        <v>189</v>
      </c>
      <c r="L295" s="8">
        <v>2879</v>
      </c>
      <c r="M295" s="9">
        <v>28185</v>
      </c>
      <c r="N295" s="2">
        <v>159891</v>
      </c>
      <c r="O295" s="2" t="s">
        <v>37</v>
      </c>
    </row>
    <row r="296" spans="1:15">
      <c r="A296" s="2" t="s">
        <v>503</v>
      </c>
      <c r="B296" s="2" t="s">
        <v>53</v>
      </c>
      <c r="C296" s="3" t="s">
        <v>504</v>
      </c>
      <c r="D296" s="2" t="s">
        <v>43</v>
      </c>
      <c r="E296" s="2" t="str">
        <f t="shared" si="8"/>
        <v>#AppleWatchUltra2#HealthTech</v>
      </c>
      <c r="F296" s="2" t="s">
        <v>17</v>
      </c>
      <c r="G296" s="2" t="s">
        <v>18</v>
      </c>
      <c r="H296" s="2" t="str">
        <f t="shared" si="9"/>
        <v>#AppleWatchUltra2</v>
      </c>
      <c r="I296" s="8">
        <v>7287</v>
      </c>
      <c r="J296" s="8">
        <v>1240</v>
      </c>
      <c r="K296" s="8">
        <v>686</v>
      </c>
      <c r="L296" s="8">
        <v>1255</v>
      </c>
      <c r="M296" s="9">
        <v>15403</v>
      </c>
      <c r="N296" s="2">
        <v>147971</v>
      </c>
      <c r="O296" s="2" t="s">
        <v>19</v>
      </c>
    </row>
    <row r="297" spans="1:15">
      <c r="A297" s="2" t="s">
        <v>505</v>
      </c>
      <c r="B297" s="2" t="s">
        <v>21</v>
      </c>
      <c r="C297" s="3" t="s">
        <v>506</v>
      </c>
      <c r="D297" s="2" t="s">
        <v>43</v>
      </c>
      <c r="E297" s="2" t="str">
        <f t="shared" si="8"/>
        <v>#Sustainability#AppleEarth</v>
      </c>
      <c r="F297" s="2" t="s">
        <v>176</v>
      </c>
      <c r="G297" s="2" t="s">
        <v>177</v>
      </c>
      <c r="H297" s="2" t="str">
        <f t="shared" si="9"/>
        <v>#Sustainability</v>
      </c>
      <c r="I297" s="8">
        <v>3619</v>
      </c>
      <c r="J297" s="8">
        <v>1376</v>
      </c>
      <c r="K297" s="8">
        <v>410</v>
      </c>
      <c r="L297" s="8">
        <v>2499</v>
      </c>
      <c r="M297" s="9">
        <v>58146</v>
      </c>
      <c r="N297" s="2">
        <v>52149</v>
      </c>
      <c r="O297" s="2" t="s">
        <v>19</v>
      </c>
    </row>
    <row r="298" spans="1:15">
      <c r="A298" s="2" t="s">
        <v>507</v>
      </c>
      <c r="B298" s="2" t="s">
        <v>53</v>
      </c>
      <c r="C298" s="3" t="s">
        <v>508</v>
      </c>
      <c r="D298" s="2" t="s">
        <v>16</v>
      </c>
      <c r="E298" s="2" t="str">
        <f t="shared" si="8"/>
        <v>#MacBookProM3</v>
      </c>
      <c r="F298" s="2" t="s">
        <v>92</v>
      </c>
      <c r="G298" s="2"/>
      <c r="H298" s="2" t="str">
        <f t="shared" si="9"/>
        <v>#MacBookProM3</v>
      </c>
      <c r="I298" s="8">
        <v>10512</v>
      </c>
      <c r="J298" s="8">
        <v>1197</v>
      </c>
      <c r="K298" s="8">
        <v>544</v>
      </c>
      <c r="L298" s="8">
        <v>2012</v>
      </c>
      <c r="M298" s="9">
        <v>10245</v>
      </c>
      <c r="N298" s="2">
        <v>140102</v>
      </c>
      <c r="O298" s="2" t="s">
        <v>19</v>
      </c>
    </row>
    <row r="299" spans="1:15">
      <c r="A299" s="2" t="s">
        <v>509</v>
      </c>
      <c r="B299" s="2" t="s">
        <v>14</v>
      </c>
      <c r="C299" s="5">
        <v>45924</v>
      </c>
      <c r="D299" s="2" t="s">
        <v>28</v>
      </c>
      <c r="E299" s="2" t="str">
        <f t="shared" si="8"/>
        <v>#iPhone16Launch#AppleEvent</v>
      </c>
      <c r="F299" s="2" t="s">
        <v>55</v>
      </c>
      <c r="G299" s="2" t="s">
        <v>35</v>
      </c>
      <c r="H299" s="2" t="str">
        <f t="shared" si="9"/>
        <v>#iPhone16Launch</v>
      </c>
      <c r="I299" s="8">
        <v>3342</v>
      </c>
      <c r="J299" s="8">
        <v>787</v>
      </c>
      <c r="K299" s="8">
        <v>375</v>
      </c>
      <c r="L299" s="8">
        <v>907</v>
      </c>
      <c r="M299" s="9">
        <v>85823</v>
      </c>
      <c r="N299" s="2">
        <v>99189</v>
      </c>
      <c r="O299" s="2" t="s">
        <v>24</v>
      </c>
    </row>
    <row r="300" spans="1:15">
      <c r="A300" s="2" t="s">
        <v>510</v>
      </c>
      <c r="B300" s="2" t="s">
        <v>26</v>
      </c>
      <c r="C300" s="5">
        <v>45925</v>
      </c>
      <c r="D300" s="2" t="s">
        <v>43</v>
      </c>
      <c r="E300" s="2" t="str">
        <f t="shared" si="8"/>
        <v>#iPhonePhotography#ShotOniPhone</v>
      </c>
      <c r="F300" s="2" t="s">
        <v>77</v>
      </c>
      <c r="G300" s="2" t="s">
        <v>40</v>
      </c>
      <c r="H300" s="2" t="str">
        <f t="shared" si="9"/>
        <v>#iPhonePhotography</v>
      </c>
      <c r="I300" s="8">
        <v>12568</v>
      </c>
      <c r="J300" s="8">
        <v>541</v>
      </c>
      <c r="K300" s="8">
        <v>273</v>
      </c>
      <c r="L300" s="8">
        <v>2767</v>
      </c>
      <c r="M300" s="9">
        <v>22331</v>
      </c>
      <c r="N300" s="2">
        <v>192747</v>
      </c>
      <c r="O300" s="2" t="s">
        <v>24</v>
      </c>
    </row>
    <row r="301" spans="1:15">
      <c r="A301" s="2" t="s">
        <v>511</v>
      </c>
      <c r="B301" s="2" t="s">
        <v>21</v>
      </c>
      <c r="C301" s="5">
        <v>45926</v>
      </c>
      <c r="D301" s="2" t="s">
        <v>34</v>
      </c>
      <c r="E301" s="2" t="str">
        <f t="shared" si="8"/>
        <v>#iPhone16Launch#AppleEvent</v>
      </c>
      <c r="F301" s="2" t="s">
        <v>55</v>
      </c>
      <c r="G301" s="2" t="s">
        <v>35</v>
      </c>
      <c r="H301" s="2" t="str">
        <f t="shared" si="9"/>
        <v>#iPhone16Launch</v>
      </c>
      <c r="I301" s="8">
        <v>21216</v>
      </c>
      <c r="J301" s="8">
        <v>226</v>
      </c>
      <c r="K301" s="8">
        <v>187</v>
      </c>
      <c r="L301" s="8">
        <v>1573</v>
      </c>
      <c r="M301" s="9">
        <v>62688</v>
      </c>
      <c r="N301" s="2">
        <v>111031</v>
      </c>
      <c r="O301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303E-635D-45B7-9B18-CAFAEF58EBC9}">
  <dimension ref="A2:M34"/>
  <sheetViews>
    <sheetView workbookViewId="0">
      <selection activeCell="E10" sqref="E10"/>
    </sheetView>
  </sheetViews>
  <sheetFormatPr defaultRowHeight="15"/>
  <cols>
    <col min="1" max="1" width="21.5703125" bestFit="1" customWidth="1"/>
    <col min="2" max="2" width="36.5703125" bestFit="1" customWidth="1"/>
    <col min="3" max="3" width="23.85546875" bestFit="1" customWidth="1"/>
    <col min="4" max="4" width="12.42578125" bestFit="1" customWidth="1"/>
    <col min="5" max="5" width="16.5703125" bestFit="1" customWidth="1"/>
    <col min="6" max="6" width="15.85546875" bestFit="1" customWidth="1"/>
    <col min="7" max="7" width="19.5703125" bestFit="1" customWidth="1"/>
    <col min="8" max="8" width="13.140625" bestFit="1" customWidth="1"/>
    <col min="9" max="9" width="18.42578125" bestFit="1" customWidth="1"/>
    <col min="10" max="10" width="16.28515625" bestFit="1" customWidth="1"/>
    <col min="11" max="11" width="14.7109375" bestFit="1" customWidth="1"/>
    <col min="12" max="12" width="14" bestFit="1" customWidth="1"/>
    <col min="13" max="13" width="11.42578125" bestFit="1" customWidth="1"/>
  </cols>
  <sheetData>
    <row r="2" spans="1:13" ht="18.75">
      <c r="C2" s="20" t="s">
        <v>515</v>
      </c>
    </row>
    <row r="3" spans="1:13">
      <c r="B3" s="10" t="s">
        <v>514</v>
      </c>
    </row>
    <row r="4" spans="1:13">
      <c r="B4" t="s">
        <v>35</v>
      </c>
      <c r="C4" t="s">
        <v>48</v>
      </c>
      <c r="D4" t="s">
        <v>44</v>
      </c>
      <c r="E4" t="s">
        <v>55</v>
      </c>
      <c r="F4" t="s">
        <v>22</v>
      </c>
      <c r="G4" t="s">
        <v>77</v>
      </c>
      <c r="H4" t="s">
        <v>29</v>
      </c>
      <c r="I4" t="s">
        <v>17</v>
      </c>
      <c r="J4" t="s">
        <v>92</v>
      </c>
      <c r="K4" t="s">
        <v>40</v>
      </c>
      <c r="L4" t="s">
        <v>176</v>
      </c>
      <c r="M4" t="s">
        <v>516</v>
      </c>
    </row>
    <row r="5" spans="1:13">
      <c r="A5" t="s">
        <v>517</v>
      </c>
      <c r="B5" s="11">
        <v>51</v>
      </c>
      <c r="C5" s="11">
        <v>37</v>
      </c>
      <c r="D5" s="11">
        <v>34</v>
      </c>
      <c r="E5" s="11">
        <v>29</v>
      </c>
      <c r="F5" s="11">
        <v>28</v>
      </c>
      <c r="G5" s="11">
        <v>25</v>
      </c>
      <c r="H5" s="11">
        <v>25</v>
      </c>
      <c r="I5" s="11">
        <v>25</v>
      </c>
      <c r="J5" s="11">
        <v>17</v>
      </c>
      <c r="K5" s="11">
        <v>16</v>
      </c>
      <c r="L5" s="11">
        <v>13</v>
      </c>
      <c r="M5" s="11">
        <v>300</v>
      </c>
    </row>
    <row r="10" spans="1:13" ht="18.75">
      <c r="B10" s="20"/>
      <c r="C10" s="20" t="s">
        <v>518</v>
      </c>
    </row>
    <row r="25" spans="2:7" ht="18.75">
      <c r="B25" s="15"/>
      <c r="C25" s="15"/>
      <c r="D25" s="16"/>
      <c r="E25" s="16"/>
      <c r="F25" s="16"/>
      <c r="G25" s="16"/>
    </row>
    <row r="26" spans="2:7" ht="18.75">
      <c r="B26" s="15"/>
      <c r="C26" s="15"/>
      <c r="D26" s="16"/>
      <c r="E26" s="16"/>
      <c r="F26" s="16"/>
      <c r="G26" s="16"/>
    </row>
    <row r="27" spans="2:7" ht="18.75">
      <c r="B27" s="19"/>
      <c r="C27" s="15"/>
      <c r="D27" s="16"/>
      <c r="E27" s="16"/>
      <c r="F27" s="16"/>
      <c r="G27" s="16"/>
    </row>
    <row r="28" spans="2:7" ht="18.75">
      <c r="B28" s="16"/>
      <c r="C28" s="16"/>
      <c r="D28" s="16"/>
      <c r="E28" s="16"/>
      <c r="F28" s="16"/>
      <c r="G28" s="16"/>
    </row>
    <row r="29" spans="2:7" ht="18.75">
      <c r="B29" s="15" t="s">
        <v>519</v>
      </c>
      <c r="C29" s="15"/>
      <c r="D29" s="16"/>
      <c r="E29" s="16"/>
      <c r="F29" s="16"/>
      <c r="G29" s="16"/>
    </row>
    <row r="30" spans="2:7" ht="18.75">
      <c r="B30" s="15" t="s">
        <v>520</v>
      </c>
      <c r="C30" s="15"/>
      <c r="D30" s="16"/>
      <c r="E30" s="16"/>
      <c r="F30" s="16"/>
      <c r="G30" s="16"/>
    </row>
    <row r="31" spans="2:7" ht="18.75">
      <c r="B31" s="15" t="s">
        <v>521</v>
      </c>
      <c r="C31" s="15"/>
      <c r="D31" s="16"/>
      <c r="E31" s="16"/>
      <c r="F31" s="16"/>
      <c r="G31" s="16"/>
    </row>
    <row r="32" spans="2:7" ht="18.75">
      <c r="B32" s="15"/>
      <c r="C32" s="15"/>
      <c r="D32" s="16"/>
      <c r="E32" s="16"/>
      <c r="F32" s="16"/>
      <c r="G32" s="16"/>
    </row>
    <row r="33" spans="2:7" ht="18.75">
      <c r="B33" s="19"/>
      <c r="C33" s="15"/>
      <c r="D33" s="16"/>
      <c r="E33" s="16"/>
      <c r="F33" s="16"/>
      <c r="G33" s="16"/>
    </row>
    <row r="34" spans="2:7" ht="18.75">
      <c r="B34" s="16"/>
      <c r="C34" s="16"/>
      <c r="D34" s="16"/>
      <c r="E34" s="16"/>
      <c r="F34" s="16"/>
      <c r="G34" s="16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E91F-ABF6-4D00-A6B1-CD88F23FFE99}">
  <dimension ref="A2:O43"/>
  <sheetViews>
    <sheetView topLeftCell="A2" workbookViewId="0">
      <selection activeCell="G2" sqref="G2"/>
    </sheetView>
  </sheetViews>
  <sheetFormatPr defaultRowHeight="15"/>
  <cols>
    <col min="1" max="1" width="32.85546875" bestFit="1" customWidth="1"/>
    <col min="2" max="2" width="25" bestFit="1" customWidth="1"/>
    <col min="3" max="3" width="15.28515625" bestFit="1" customWidth="1"/>
    <col min="4" max="4" width="20.5703125" bestFit="1" customWidth="1"/>
    <col min="7" max="7" width="36.5703125" bestFit="1" customWidth="1"/>
    <col min="8" max="8" width="25.42578125" bestFit="1" customWidth="1"/>
  </cols>
  <sheetData>
    <row r="2" spans="1:8" ht="18.75">
      <c r="B2" s="20" t="s">
        <v>522</v>
      </c>
      <c r="H2" s="20" t="s">
        <v>523</v>
      </c>
    </row>
    <row r="3" spans="1:8">
      <c r="A3" s="10" t="s">
        <v>513</v>
      </c>
      <c r="B3" t="s">
        <v>524</v>
      </c>
      <c r="C3" t="s">
        <v>525</v>
      </c>
      <c r="D3" t="s">
        <v>526</v>
      </c>
    </row>
    <row r="4" spans="1:8">
      <c r="A4" t="s">
        <v>527</v>
      </c>
      <c r="B4" s="12">
        <v>892.8</v>
      </c>
      <c r="C4" s="12">
        <v>13327.8</v>
      </c>
      <c r="D4" s="12">
        <v>637.55999999999995</v>
      </c>
    </row>
    <row r="5" spans="1:8">
      <c r="A5" t="s">
        <v>528</v>
      </c>
      <c r="B5" s="12">
        <v>900.36842105263156</v>
      </c>
      <c r="C5" s="12">
        <v>12987</v>
      </c>
      <c r="D5" s="12">
        <v>535.68421052631584</v>
      </c>
    </row>
    <row r="6" spans="1:8">
      <c r="A6" t="s">
        <v>529</v>
      </c>
      <c r="B6" s="12">
        <v>869.34375</v>
      </c>
      <c r="C6" s="12">
        <v>14262.09375</v>
      </c>
      <c r="D6" s="12">
        <v>567.59375</v>
      </c>
    </row>
    <row r="7" spans="1:8">
      <c r="A7" t="s">
        <v>530</v>
      </c>
      <c r="B7" s="12">
        <v>875.88235294117646</v>
      </c>
      <c r="C7" s="12">
        <v>13437.176470588236</v>
      </c>
      <c r="D7" s="12">
        <v>584.76470588235293</v>
      </c>
    </row>
    <row r="8" spans="1:8">
      <c r="A8" t="s">
        <v>531</v>
      </c>
      <c r="B8" s="12">
        <v>880.54054054054052</v>
      </c>
      <c r="C8" s="12">
        <v>13986.108108108108</v>
      </c>
      <c r="D8" s="12">
        <v>576.91891891891896</v>
      </c>
    </row>
    <row r="9" spans="1:8">
      <c r="A9" t="s">
        <v>532</v>
      </c>
      <c r="B9" s="12">
        <v>980.64</v>
      </c>
      <c r="C9" s="12">
        <v>13057.88</v>
      </c>
      <c r="D9" s="12">
        <v>560.12</v>
      </c>
    </row>
    <row r="10" spans="1:8">
      <c r="A10" t="s">
        <v>533</v>
      </c>
      <c r="B10" s="12">
        <v>803.65517241379314</v>
      </c>
      <c r="C10" s="12">
        <v>15420.51724137931</v>
      </c>
      <c r="D10" s="12">
        <v>541.13793103448279</v>
      </c>
    </row>
    <row r="11" spans="1:8">
      <c r="A11" t="s">
        <v>534</v>
      </c>
      <c r="B11" s="12">
        <v>802.2</v>
      </c>
      <c r="C11" s="12">
        <v>13856.76</v>
      </c>
      <c r="D11" s="12">
        <v>562.12</v>
      </c>
    </row>
    <row r="12" spans="1:8">
      <c r="A12" t="s">
        <v>535</v>
      </c>
      <c r="B12" s="12">
        <v>901.46428571428567</v>
      </c>
      <c r="C12" s="12">
        <v>13015.321428571429</v>
      </c>
      <c r="D12" s="12">
        <v>531.75</v>
      </c>
    </row>
    <row r="13" spans="1:8">
      <c r="A13" t="s">
        <v>92</v>
      </c>
      <c r="B13" s="12">
        <v>814.35294117647061</v>
      </c>
      <c r="C13" s="12">
        <v>12777.235294117647</v>
      </c>
      <c r="D13" s="12">
        <v>626.05882352941171</v>
      </c>
    </row>
    <row r="14" spans="1:8">
      <c r="A14" t="s">
        <v>40</v>
      </c>
      <c r="B14" s="12">
        <v>806.5625</v>
      </c>
      <c r="C14" s="12">
        <v>14377.6875</v>
      </c>
      <c r="D14" s="12">
        <v>574.875</v>
      </c>
    </row>
    <row r="15" spans="1:8">
      <c r="A15" t="s">
        <v>536</v>
      </c>
      <c r="B15" s="12">
        <v>908.69230769230774</v>
      </c>
      <c r="C15" s="12">
        <v>9616.3076923076915</v>
      </c>
      <c r="D15" s="12">
        <v>646.23076923076928</v>
      </c>
    </row>
    <row r="16" spans="1:8">
      <c r="A16" t="s">
        <v>516</v>
      </c>
      <c r="B16" s="12">
        <v>870.95333333333338</v>
      </c>
      <c r="C16" s="12">
        <v>13558.143333333333</v>
      </c>
      <c r="D16" s="12">
        <v>574.62666666666667</v>
      </c>
    </row>
    <row r="21" spans="7:15" ht="15.75">
      <c r="G21" s="13" t="s">
        <v>537</v>
      </c>
      <c r="H21" s="13"/>
      <c r="I21" s="13"/>
      <c r="J21" s="13"/>
      <c r="K21" s="13"/>
      <c r="L21" s="13"/>
      <c r="M21" s="13"/>
      <c r="N21" s="13"/>
      <c r="O21" s="13"/>
    </row>
    <row r="22" spans="7:15" ht="15.75">
      <c r="G22" s="13" t="s">
        <v>538</v>
      </c>
      <c r="H22" s="13"/>
      <c r="I22" s="13"/>
      <c r="J22" s="13"/>
      <c r="K22" s="13"/>
      <c r="L22" s="13"/>
      <c r="M22" s="13"/>
      <c r="N22" s="13"/>
      <c r="O22" s="13"/>
    </row>
    <row r="23" spans="7:15" ht="15.75">
      <c r="G23" s="13" t="s">
        <v>539</v>
      </c>
      <c r="H23" s="13"/>
      <c r="I23" s="13"/>
      <c r="J23" s="13"/>
      <c r="K23" s="13"/>
      <c r="L23" s="13"/>
      <c r="M23" s="13"/>
      <c r="N23" s="13"/>
      <c r="O23" s="13"/>
    </row>
    <row r="24" spans="7:15" ht="15.75">
      <c r="G24" s="13" t="s">
        <v>540</v>
      </c>
      <c r="H24" s="13"/>
      <c r="I24" s="13"/>
      <c r="J24" s="13"/>
      <c r="K24" s="13"/>
      <c r="L24" s="13"/>
      <c r="M24" s="13"/>
      <c r="N24" s="13"/>
      <c r="O24" s="13"/>
    </row>
    <row r="25" spans="7:15" ht="15.75">
      <c r="G25" s="14"/>
      <c r="H25" s="14"/>
      <c r="I25" s="14"/>
      <c r="J25" s="14"/>
      <c r="K25" s="14"/>
      <c r="L25" s="14"/>
      <c r="M25" s="14"/>
      <c r="N25" s="14"/>
      <c r="O25" s="14"/>
    </row>
    <row r="26" spans="7:15" ht="15.75">
      <c r="G26" s="14"/>
      <c r="H26" s="14"/>
      <c r="I26" s="14"/>
      <c r="J26" s="14"/>
      <c r="K26" s="14"/>
      <c r="L26" s="14"/>
      <c r="M26" s="14"/>
      <c r="N26" s="14"/>
      <c r="O26" s="14"/>
    </row>
    <row r="27" spans="7:15" ht="15.75">
      <c r="G27" s="14"/>
      <c r="H27" s="14"/>
      <c r="I27" s="14"/>
      <c r="J27" s="14"/>
      <c r="K27" s="14"/>
      <c r="L27" s="14"/>
      <c r="M27" s="14"/>
      <c r="N27" s="14"/>
      <c r="O27" s="14"/>
    </row>
    <row r="28" spans="7:15" ht="15.75">
      <c r="G28" s="14"/>
      <c r="H28" s="14"/>
      <c r="I28" s="14"/>
      <c r="J28" s="14"/>
      <c r="K28" s="14"/>
      <c r="L28" s="14"/>
      <c r="M28" s="14"/>
      <c r="N28" s="14"/>
      <c r="O28" s="14"/>
    </row>
    <row r="29" spans="7:15" ht="15.75">
      <c r="G29" s="14"/>
      <c r="H29" s="14"/>
      <c r="I29" s="14"/>
      <c r="J29" s="14"/>
      <c r="K29" s="14"/>
      <c r="L29" s="14"/>
      <c r="M29" s="14"/>
      <c r="N29" s="14"/>
      <c r="O29" s="14"/>
    </row>
    <row r="30" spans="7:15" ht="15.75">
      <c r="G30" s="14"/>
      <c r="H30" s="14"/>
      <c r="I30" s="14"/>
      <c r="J30" s="14"/>
      <c r="K30" s="14"/>
      <c r="L30" s="14"/>
      <c r="M30" s="14"/>
      <c r="N30" s="14"/>
      <c r="O30" s="14"/>
    </row>
    <row r="31" spans="7:15" ht="15.75">
      <c r="G31" s="14"/>
      <c r="H31" s="14"/>
      <c r="I31" s="14"/>
      <c r="J31" s="14"/>
      <c r="K31" s="14"/>
      <c r="L31" s="14"/>
      <c r="M31" s="14"/>
      <c r="N31" s="14"/>
      <c r="O31" s="14"/>
    </row>
    <row r="32" spans="7:15" ht="15.75">
      <c r="G32" s="14"/>
      <c r="H32" s="14"/>
      <c r="I32" s="14"/>
      <c r="J32" s="14"/>
      <c r="K32" s="14"/>
      <c r="L32" s="14"/>
      <c r="M32" s="14"/>
      <c r="N32" s="14"/>
      <c r="O32" s="14"/>
    </row>
    <row r="33" spans="7:15" ht="15.75">
      <c r="G33" s="14"/>
      <c r="H33" s="14"/>
      <c r="I33" s="14"/>
      <c r="J33" s="14"/>
      <c r="K33" s="14"/>
      <c r="L33" s="14"/>
      <c r="M33" s="14"/>
      <c r="N33" s="14"/>
      <c r="O33" s="14"/>
    </row>
    <row r="34" spans="7:15" ht="15.75">
      <c r="G34" s="14"/>
      <c r="H34" s="14"/>
      <c r="I34" s="14"/>
      <c r="J34" s="14"/>
      <c r="K34" s="14"/>
      <c r="L34" s="14"/>
      <c r="M34" s="14"/>
      <c r="N34" s="14"/>
      <c r="O34" s="14"/>
    </row>
    <row r="35" spans="7:15" ht="15.75">
      <c r="G35" s="14"/>
      <c r="H35" s="14"/>
      <c r="I35" s="14"/>
      <c r="J35" s="14"/>
      <c r="K35" s="14"/>
      <c r="L35" s="14"/>
      <c r="M35" s="14"/>
      <c r="N35" s="14"/>
      <c r="O35" s="14"/>
    </row>
    <row r="36" spans="7:15" ht="15.75">
      <c r="G36" s="14"/>
      <c r="H36" s="14"/>
      <c r="I36" s="14"/>
      <c r="J36" s="14"/>
      <c r="K36" s="14"/>
      <c r="L36" s="14"/>
      <c r="M36" s="14"/>
      <c r="N36" s="14"/>
      <c r="O36" s="14"/>
    </row>
    <row r="37" spans="7:15" ht="15.75">
      <c r="G37" s="14"/>
      <c r="H37" s="14"/>
      <c r="I37" s="14"/>
      <c r="J37" s="14"/>
      <c r="K37" s="14"/>
      <c r="L37" s="14"/>
      <c r="M37" s="14"/>
      <c r="N37" s="14"/>
      <c r="O37" s="14"/>
    </row>
    <row r="38" spans="7:15" ht="15.75">
      <c r="G38" s="14"/>
      <c r="H38" s="14"/>
      <c r="I38" s="14"/>
      <c r="J38" s="14"/>
      <c r="K38" s="14"/>
      <c r="L38" s="14"/>
      <c r="M38" s="14"/>
      <c r="N38" s="14"/>
      <c r="O38" s="14"/>
    </row>
    <row r="39" spans="7:15" ht="15.75">
      <c r="G39" s="14"/>
      <c r="H39" s="14"/>
      <c r="I39" s="14"/>
      <c r="J39" s="14"/>
      <c r="K39" s="14"/>
      <c r="L39" s="14"/>
      <c r="M39" s="14"/>
      <c r="N39" s="14"/>
      <c r="O39" s="14"/>
    </row>
    <row r="40" spans="7:15" ht="15.75">
      <c r="G40" s="14"/>
      <c r="H40" s="14"/>
      <c r="I40" s="14"/>
      <c r="J40" s="14"/>
      <c r="K40" s="14"/>
      <c r="L40" s="14"/>
      <c r="M40" s="14"/>
      <c r="N40" s="14"/>
      <c r="O40" s="14"/>
    </row>
    <row r="41" spans="7:15" ht="15.75">
      <c r="G41" s="14"/>
      <c r="H41" s="14"/>
      <c r="I41" s="14"/>
      <c r="J41" s="14"/>
      <c r="K41" s="14"/>
      <c r="L41" s="14"/>
      <c r="M41" s="14"/>
      <c r="N41" s="14"/>
      <c r="O41" s="14"/>
    </row>
    <row r="42" spans="7:15" ht="15.75">
      <c r="G42" s="14"/>
      <c r="H42" s="14"/>
      <c r="I42" s="14"/>
      <c r="J42" s="14"/>
      <c r="K42" s="14"/>
      <c r="L42" s="14"/>
      <c r="M42" s="14"/>
      <c r="N42" s="14"/>
      <c r="O42" s="14"/>
    </row>
    <row r="43" spans="7:15" ht="15.75">
      <c r="G43" s="14"/>
      <c r="H43" s="14"/>
      <c r="I43" s="14"/>
      <c r="J43" s="14"/>
      <c r="K43" s="14"/>
      <c r="L43" s="14"/>
      <c r="M43" s="14"/>
      <c r="N43" s="14"/>
      <c r="O43" s="1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7A56-0536-4B63-A3E1-C1E043425D91}">
  <dimension ref="A2:N38"/>
  <sheetViews>
    <sheetView tabSelected="1" topLeftCell="A9" workbookViewId="0">
      <selection activeCell="F25" sqref="F25"/>
    </sheetView>
  </sheetViews>
  <sheetFormatPr defaultRowHeight="15"/>
  <cols>
    <col min="1" max="1" width="15.42578125" bestFit="1" customWidth="1"/>
    <col min="2" max="2" width="25.28515625" bestFit="1" customWidth="1"/>
    <col min="3" max="3" width="13.42578125" bestFit="1" customWidth="1"/>
    <col min="4" max="4" width="17.140625" bestFit="1" customWidth="1"/>
    <col min="6" max="6" width="36.5703125" bestFit="1" customWidth="1"/>
    <col min="8" max="8" width="29.5703125" bestFit="1" customWidth="1"/>
  </cols>
  <sheetData>
    <row r="2" spans="1:8" ht="18.75">
      <c r="B2" s="21" t="s">
        <v>541</v>
      </c>
      <c r="H2" s="20" t="s">
        <v>542</v>
      </c>
    </row>
    <row r="3" spans="1:8">
      <c r="A3" s="10" t="s">
        <v>3</v>
      </c>
      <c r="B3" t="s">
        <v>543</v>
      </c>
      <c r="C3" t="s">
        <v>544</v>
      </c>
      <c r="D3" t="s">
        <v>545</v>
      </c>
    </row>
    <row r="4" spans="1:8">
      <c r="A4" t="s">
        <v>43</v>
      </c>
      <c r="B4" s="12">
        <v>1199672</v>
      </c>
      <c r="C4" s="12">
        <v>81330</v>
      </c>
      <c r="D4" s="12">
        <v>54382</v>
      </c>
    </row>
    <row r="5" spans="1:8">
      <c r="A5" t="s">
        <v>16</v>
      </c>
      <c r="B5" s="12">
        <v>891508</v>
      </c>
      <c r="C5" s="12">
        <v>57094</v>
      </c>
      <c r="D5" s="12">
        <v>39063</v>
      </c>
    </row>
    <row r="6" spans="1:8">
      <c r="A6" t="s">
        <v>34</v>
      </c>
      <c r="B6" s="12">
        <v>1054188</v>
      </c>
      <c r="C6" s="12">
        <v>60151</v>
      </c>
      <c r="D6" s="12">
        <v>41373</v>
      </c>
    </row>
    <row r="7" spans="1:8">
      <c r="A7" t="s">
        <v>516</v>
      </c>
      <c r="B7" s="12">
        <v>3145368</v>
      </c>
      <c r="C7" s="12">
        <v>198575</v>
      </c>
      <c r="D7" s="12">
        <v>134818</v>
      </c>
    </row>
    <row r="22" spans="6:11" ht="21">
      <c r="F22" s="17"/>
      <c r="G22" s="18"/>
      <c r="H22" s="18"/>
      <c r="I22" s="18"/>
      <c r="J22" s="18"/>
      <c r="K22" s="18"/>
    </row>
    <row r="23" spans="6:11" ht="21">
      <c r="F23" s="17"/>
      <c r="G23" s="18"/>
      <c r="H23" s="18"/>
      <c r="I23" s="18"/>
      <c r="J23" s="18"/>
      <c r="K23" s="18"/>
    </row>
    <row r="24" spans="6:11" ht="21">
      <c r="F24" s="17"/>
      <c r="G24" s="18"/>
      <c r="H24" s="18"/>
      <c r="I24" s="18"/>
      <c r="J24" s="18"/>
      <c r="K24" s="18"/>
    </row>
    <row r="25" spans="6:11" ht="21">
      <c r="F25" s="22" t="s">
        <v>546</v>
      </c>
      <c r="G25" s="18"/>
      <c r="H25" s="18"/>
      <c r="I25" s="18"/>
      <c r="J25" s="18"/>
      <c r="K25" s="18"/>
    </row>
    <row r="26" spans="6:11" ht="21">
      <c r="F26" s="17" t="s">
        <v>547</v>
      </c>
      <c r="G26" s="18"/>
      <c r="H26" s="18"/>
      <c r="I26" s="18"/>
      <c r="J26" s="18"/>
      <c r="K26" s="18"/>
    </row>
    <row r="27" spans="6:11" ht="21">
      <c r="F27" s="17" t="s">
        <v>548</v>
      </c>
      <c r="G27" s="18"/>
      <c r="H27" s="18"/>
      <c r="I27" s="18"/>
      <c r="J27" s="18"/>
      <c r="K27" s="18"/>
    </row>
    <row r="36" spans="9:14" ht="21">
      <c r="I36" s="17"/>
      <c r="J36" s="18"/>
      <c r="K36" s="18"/>
      <c r="L36" s="18"/>
      <c r="M36" s="18"/>
      <c r="N36" s="18"/>
    </row>
    <row r="37" spans="9:14" ht="21">
      <c r="I37" s="17"/>
      <c r="J37" s="18"/>
      <c r="K37" s="18"/>
      <c r="L37" s="18"/>
      <c r="M37" s="18"/>
      <c r="N37" s="18"/>
    </row>
    <row r="38" spans="9:14" ht="21">
      <c r="I38" s="17"/>
      <c r="J38" s="18"/>
      <c r="K38" s="18"/>
      <c r="L38" s="18"/>
      <c r="M38" s="18"/>
      <c r="N38" s="18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2026-04-30T10:53:04Z</dcterms:created>
  <dcterms:modified xsi:type="dcterms:W3CDTF">2026-04-30T15:54:46Z</dcterms:modified>
  <cp:category/>
  <cp:contentStatus/>
</cp:coreProperties>
</file>